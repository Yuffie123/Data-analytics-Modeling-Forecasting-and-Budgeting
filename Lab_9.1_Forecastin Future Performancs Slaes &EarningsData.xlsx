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jhj2005\Desktop\"/>
    </mc:Choice>
  </mc:AlternateContent>
  <xr:revisionPtr revIDLastSave="0" documentId="13_ncr:1_{E9C04EE8-1FD1-4638-9791-02EAFCC79066}" xr6:coauthVersionLast="36" xr6:coauthVersionMax="47" xr10:uidLastSave="{00000000-0000-0000-0000-000000000000}"/>
  <bookViews>
    <workbookView xWindow="-80" yWindow="-80" windowWidth="19360" windowHeight="10360" activeTab="2" xr2:uid="{00000000-000D-0000-FFFF-FFFF00000000}"/>
  </bookViews>
  <sheets>
    <sheet name=" sales forecast" sheetId="2" r:id="rId1"/>
    <sheet name=" Income forecast" sheetId="3" r:id="rId2"/>
    <sheet name="Sony Data" sheetId="1" r:id="rId3"/>
  </sheets>
  <definedNames>
    <definedName name="_xlnm._FilterDatabase" localSheetId="2">'Sony Data'!$A$1:$E$1</definedName>
  </definedNames>
  <calcPr calcId="191029"/>
</workbook>
</file>

<file path=xl/calcChain.xml><?xml version="1.0" encoding="utf-8"?>
<calcChain xmlns="http://schemas.openxmlformats.org/spreadsheetml/2006/main">
  <c r="C36" i="3" l="1"/>
  <c r="C37" i="3"/>
  <c r="C38" i="3"/>
  <c r="C39" i="3"/>
  <c r="C40" i="3"/>
  <c r="C41" i="3"/>
  <c r="H3" i="3"/>
  <c r="H5" i="3"/>
  <c r="C34" i="3"/>
  <c r="C42" i="3"/>
  <c r="H4" i="3"/>
  <c r="H6" i="3"/>
  <c r="C35" i="3"/>
  <c r="H2" i="3"/>
  <c r="H7" i="3"/>
  <c r="H8" i="3"/>
  <c r="H6" i="2"/>
  <c r="C34" i="2"/>
  <c r="H7" i="2"/>
  <c r="C35" i="2"/>
  <c r="H8" i="2"/>
  <c r="C36" i="2"/>
  <c r="C37" i="2"/>
  <c r="C38" i="2"/>
  <c r="C39" i="2"/>
  <c r="C40" i="2"/>
  <c r="C41" i="2"/>
  <c r="C42" i="2"/>
  <c r="H2" i="2"/>
  <c r="H3" i="2"/>
  <c r="H4" i="2"/>
  <c r="H5" i="2"/>
  <c r="E35" i="3" l="1"/>
  <c r="E36" i="3"/>
  <c r="D35" i="3"/>
  <c r="D36" i="3"/>
  <c r="D42" i="3"/>
  <c r="E42" i="3"/>
  <c r="E34" i="3"/>
  <c r="E41" i="3"/>
  <c r="E40" i="3"/>
  <c r="E39" i="3"/>
  <c r="E38" i="3"/>
  <c r="E37" i="3"/>
  <c r="D34" i="3"/>
  <c r="D37" i="3"/>
  <c r="D41" i="3"/>
  <c r="D40" i="3"/>
  <c r="D39" i="3"/>
  <c r="D38" i="3"/>
  <c r="D42" i="2"/>
  <c r="E34" i="2"/>
  <c r="D40" i="2"/>
  <c r="E38" i="2"/>
  <c r="E37" i="2"/>
  <c r="D37" i="2"/>
  <c r="E35" i="2"/>
  <c r="E42" i="2"/>
  <c r="D34" i="2"/>
  <c r="D41" i="2"/>
  <c r="E40" i="2"/>
  <c r="D39" i="2"/>
  <c r="D38" i="2"/>
  <c r="E36" i="2"/>
  <c r="E41" i="2"/>
  <c r="E39" i="2"/>
  <c r="D35" i="2"/>
  <c r="D36" i="2"/>
</calcChain>
</file>

<file path=xl/sharedStrings.xml><?xml version="1.0" encoding="utf-8"?>
<sst xmlns="http://schemas.openxmlformats.org/spreadsheetml/2006/main" count="32" uniqueCount="18">
  <si>
    <t>Date</t>
  </si>
  <si>
    <t>Sony Sales</t>
  </si>
  <si>
    <t>Sony Income Before Extraordinary Items</t>
  </si>
  <si>
    <t>Forecast(Sony Sales)</t>
  </si>
  <si>
    <t>Lower Confidence Bound(Sony Sales)</t>
  </si>
  <si>
    <t>Upper Confidence Bound(Sony Sales)</t>
  </si>
  <si>
    <t>Statistic</t>
  </si>
  <si>
    <t>Value</t>
  </si>
  <si>
    <t>Alpha</t>
  </si>
  <si>
    <t>Beta</t>
  </si>
  <si>
    <t>Gamma</t>
  </si>
  <si>
    <t>MASE</t>
  </si>
  <si>
    <t>SMAPE</t>
  </si>
  <si>
    <t>MAE</t>
  </si>
  <si>
    <t>RMSE</t>
  </si>
  <si>
    <t>Forecast(Sony Income Before Extraordinary Items)</t>
  </si>
  <si>
    <t>Lower Confidence Bound(Sony Income Before Extraordinary Items)</t>
  </si>
  <si>
    <t>Upper Confidence Bound(Sony Income Before Extraordinary Items)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</si>
</sst>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Calibri"/>
      <family val="2"/>
      <scheme val="minor"/>
    </font>
    <font>
      <b/>
      <sz val="12"/>
      <color indexed="9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18"/>
        <bgColor indexed="1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wrapText="1"/>
    </xf>
    <xf numFmtId="14" fontId="0" fillId="0" borderId="0" xfId="0" applyNumberFormat="1"/>
    <xf numFmtId="1" fontId="0" fillId="0" borderId="0" xfId="0" applyNumberFormat="1"/>
    <xf numFmtId="2" fontId="0" fillId="0" borderId="0" xfId="0" applyNumberFormat="1"/>
    <xf numFmtId="2" fontId="1" fillId="2" borderId="0" xfId="0" applyNumberFormat="1" applyFont="1" applyFill="1" applyAlignment="1">
      <alignment wrapText="1"/>
    </xf>
    <xf numFmtId="14" fontId="1" fillId="2" borderId="0" xfId="0" applyNumberFormat="1" applyFont="1" applyFill="1" applyAlignment="1">
      <alignment wrapText="1"/>
    </xf>
    <xf numFmtId="4" fontId="0" fillId="0" borderId="0" xfId="0" applyNumberFormat="1"/>
  </cellXfs>
  <cellStyles count="1">
    <cellStyle name="Normal" xfId="0" builtinId="0"/>
  </cellStyles>
  <dxfs count="10">
    <dxf>
      <numFmt numFmtId="4" formatCode="#,##0.00"/>
    </dxf>
    <dxf>
      <numFmt numFmtId="2" formatCode="0.00"/>
    </dxf>
    <dxf>
      <numFmt numFmtId="2" formatCode="0.00"/>
    </dxf>
    <dxf>
      <numFmt numFmtId="2" formatCode="0.00"/>
    </dxf>
    <dxf>
      <numFmt numFmtId="19" formatCode="yyyy/mm/dd"/>
    </dxf>
    <dxf>
      <numFmt numFmtId="4" formatCode="#,##0.00"/>
    </dxf>
    <dxf>
      <numFmt numFmtId="2" formatCode="0.00"/>
    </dxf>
    <dxf>
      <numFmt numFmtId="2" formatCode="0.00"/>
    </dxf>
    <dxf>
      <numFmt numFmtId="2" formatCode="0.00"/>
    </dxf>
    <dxf>
      <numFmt numFmtId="19" formatCode="yyyy/mm/dd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 sales forecast'!$B$1</c:f>
              <c:strCache>
                <c:ptCount val="1"/>
                <c:pt idx="0">
                  <c:v>Sony Sales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 sales forecast'!$B$2:$B$42</c:f>
              <c:numCache>
                <c:formatCode>0.00</c:formatCode>
                <c:ptCount val="41"/>
                <c:pt idx="0">
                  <c:v>25028.415000000001</c:v>
                </c:pt>
                <c:pt idx="1">
                  <c:v>25977.78</c:v>
                </c:pt>
                <c:pt idx="2">
                  <c:v>26576.744999999999</c:v>
                </c:pt>
                <c:pt idx="3">
                  <c:v>31775.805</c:v>
                </c:pt>
                <c:pt idx="4">
                  <c:v>26944.665000000001</c:v>
                </c:pt>
                <c:pt idx="5">
                  <c:v>29199.27</c:v>
                </c:pt>
                <c:pt idx="6">
                  <c:v>28641.915000000001</c:v>
                </c:pt>
                <c:pt idx="7">
                  <c:v>32287.17</c:v>
                </c:pt>
                <c:pt idx="8">
                  <c:v>27016.934999999998</c:v>
                </c:pt>
                <c:pt idx="9">
                  <c:v>28232.384999999998</c:v>
                </c:pt>
                <c:pt idx="10">
                  <c:v>27097.965</c:v>
                </c:pt>
                <c:pt idx="11">
                  <c:v>32087.88</c:v>
                </c:pt>
                <c:pt idx="12">
                  <c:v>25631.759999999998</c:v>
                </c:pt>
                <c:pt idx="13">
                  <c:v>26538.42</c:v>
                </c:pt>
                <c:pt idx="14">
                  <c:v>25555.11</c:v>
                </c:pt>
                <c:pt idx="15">
                  <c:v>29987.67</c:v>
                </c:pt>
                <c:pt idx="16">
                  <c:v>24348.42</c:v>
                </c:pt>
                <c:pt idx="17">
                  <c:v>26331.465</c:v>
                </c:pt>
                <c:pt idx="18">
                  <c:v>24524.715</c:v>
                </c:pt>
                <c:pt idx="19">
                  <c:v>26403.735000000001</c:v>
                </c:pt>
                <c:pt idx="20">
                  <c:v>21451.05</c:v>
                </c:pt>
                <c:pt idx="21">
                  <c:v>22790.235000000001</c:v>
                </c:pt>
                <c:pt idx="22">
                  <c:v>21110.505000000001</c:v>
                </c:pt>
                <c:pt idx="23">
                  <c:v>24154.605</c:v>
                </c:pt>
                <c:pt idx="24">
                  <c:v>20460.075000000001</c:v>
                </c:pt>
                <c:pt idx="25">
                  <c:v>22160.61</c:v>
                </c:pt>
                <c:pt idx="26">
                  <c:v>21052.47</c:v>
                </c:pt>
                <c:pt idx="27">
                  <c:v>23839.244999999999</c:v>
                </c:pt>
                <c:pt idx="28">
                  <c:v>19879.724999999999</c:v>
                </c:pt>
                <c:pt idx="29">
                  <c:v>21120.36</c:v>
                </c:pt>
                <c:pt idx="30">
                  <c:v>20973.63</c:v>
                </c:pt>
                <c:pt idx="31">
                  <c:v>24683.489999999998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6A-4B0D-9124-C9F7AFE57559}"/>
            </c:ext>
          </c:extLst>
        </c:ser>
        <c:ser>
          <c:idx val="1"/>
          <c:order val="1"/>
          <c:tx>
            <c:strRef>
              <c:f>' sales forecast'!$C$1</c:f>
              <c:strCache>
                <c:ptCount val="1"/>
                <c:pt idx="0">
                  <c:v>Forecast(Sony Sales)</c:v>
                </c:pt>
              </c:strCache>
            </c:strRef>
          </c:tx>
          <c:spPr>
            <a:ln w="2540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 sales forecast'!$A$2:$A$42</c:f>
              <c:numCache>
                <c:formatCode>m/d/yyyy</c:formatCode>
                <c:ptCount val="41"/>
                <c:pt idx="0">
                  <c:v>42005</c:v>
                </c:pt>
                <c:pt idx="1">
                  <c:v>42095</c:v>
                </c:pt>
                <c:pt idx="2">
                  <c:v>42186</c:v>
                </c:pt>
                <c:pt idx="3">
                  <c:v>42278</c:v>
                </c:pt>
                <c:pt idx="4">
                  <c:v>42370</c:v>
                </c:pt>
                <c:pt idx="5">
                  <c:v>42461</c:v>
                </c:pt>
                <c:pt idx="6">
                  <c:v>42552</c:v>
                </c:pt>
                <c:pt idx="7">
                  <c:v>42644</c:v>
                </c:pt>
                <c:pt idx="8">
                  <c:v>42736</c:v>
                </c:pt>
                <c:pt idx="9">
                  <c:v>42826</c:v>
                </c:pt>
                <c:pt idx="10">
                  <c:v>42917</c:v>
                </c:pt>
                <c:pt idx="11">
                  <c:v>43009</c:v>
                </c:pt>
                <c:pt idx="12">
                  <c:v>43101</c:v>
                </c:pt>
                <c:pt idx="13">
                  <c:v>43191</c:v>
                </c:pt>
                <c:pt idx="14">
                  <c:v>43282</c:v>
                </c:pt>
                <c:pt idx="15">
                  <c:v>43374</c:v>
                </c:pt>
                <c:pt idx="16">
                  <c:v>43466</c:v>
                </c:pt>
                <c:pt idx="17">
                  <c:v>43556</c:v>
                </c:pt>
                <c:pt idx="18">
                  <c:v>43647</c:v>
                </c:pt>
                <c:pt idx="19">
                  <c:v>43739</c:v>
                </c:pt>
                <c:pt idx="20">
                  <c:v>43831</c:v>
                </c:pt>
                <c:pt idx="21">
                  <c:v>43922</c:v>
                </c:pt>
                <c:pt idx="22">
                  <c:v>44013</c:v>
                </c:pt>
                <c:pt idx="23">
                  <c:v>44105</c:v>
                </c:pt>
                <c:pt idx="24">
                  <c:v>44197</c:v>
                </c:pt>
                <c:pt idx="25">
                  <c:v>44287</c:v>
                </c:pt>
                <c:pt idx="26">
                  <c:v>44378</c:v>
                </c:pt>
                <c:pt idx="27">
                  <c:v>44470</c:v>
                </c:pt>
                <c:pt idx="28">
                  <c:v>44562</c:v>
                </c:pt>
                <c:pt idx="29">
                  <c:v>44652</c:v>
                </c:pt>
                <c:pt idx="30">
                  <c:v>44743</c:v>
                </c:pt>
                <c:pt idx="31">
                  <c:v>44835</c:v>
                </c:pt>
                <c:pt idx="32">
                  <c:v>44927</c:v>
                </c:pt>
                <c:pt idx="33">
                  <c:v>45017</c:v>
                </c:pt>
                <c:pt idx="34">
                  <c:v>45108</c:v>
                </c:pt>
                <c:pt idx="35">
                  <c:v>45200</c:v>
                </c:pt>
                <c:pt idx="36">
                  <c:v>45292</c:v>
                </c:pt>
                <c:pt idx="37">
                  <c:v>45383</c:v>
                </c:pt>
                <c:pt idx="38">
                  <c:v>45474</c:v>
                </c:pt>
                <c:pt idx="39">
                  <c:v>45566</c:v>
                </c:pt>
                <c:pt idx="40">
                  <c:v>45657</c:v>
                </c:pt>
              </c:numCache>
            </c:numRef>
          </c:cat>
          <c:val>
            <c:numRef>
              <c:f>' sales forecast'!$C$2:$C$42</c:f>
              <c:numCache>
                <c:formatCode>General</c:formatCode>
                <c:ptCount val="41"/>
                <c:pt idx="31" formatCode="0.00">
                  <c:v>24683.489999999998</c:v>
                </c:pt>
                <c:pt idx="32" formatCode="0.00">
                  <c:v>20711.097805467707</c:v>
                </c:pt>
                <c:pt idx="33" formatCode="0.00">
                  <c:v>22914.373214294221</c:v>
                </c:pt>
                <c:pt idx="34" formatCode="0.00">
                  <c:v>20180.620801203939</c:v>
                </c:pt>
                <c:pt idx="35" formatCode="0.00">
                  <c:v>22383.896210030449</c:v>
                </c:pt>
                <c:pt idx="36" formatCode="0.00">
                  <c:v>19650.143796940167</c:v>
                </c:pt>
                <c:pt idx="37" formatCode="0.00">
                  <c:v>21853.419205766681</c:v>
                </c:pt>
                <c:pt idx="38" formatCode="0.00">
                  <c:v>19119.666792676398</c:v>
                </c:pt>
                <c:pt idx="39" formatCode="0.00">
                  <c:v>21322.942201502912</c:v>
                </c:pt>
                <c:pt idx="40" formatCode="0.00">
                  <c:v>18618.904488554916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6A-4B0D-9124-C9F7AFE57559}"/>
            </c:ext>
          </c:extLst>
        </c:ser>
        <c:ser>
          <c:idx val="2"/>
          <c:order val="2"/>
          <c:tx>
            <c:strRef>
              <c:f>' sales forecast'!$D$1</c:f>
              <c:strCache>
                <c:ptCount val="1"/>
                <c:pt idx="0">
                  <c:v>Lower Confidence Bound(Sony Sales)</c:v>
                </c:pt>
              </c:strCache>
            </c:strRef>
          </c:tx>
          <c:spPr>
            <a:ln w="12700" cap="rnd">
              <a:solidFill>
                <a:srgbClr val="ED7D31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' sales forecast'!$A$2:$A$42</c:f>
              <c:numCache>
                <c:formatCode>m/d/yyyy</c:formatCode>
                <c:ptCount val="41"/>
                <c:pt idx="0">
                  <c:v>42005</c:v>
                </c:pt>
                <c:pt idx="1">
                  <c:v>42095</c:v>
                </c:pt>
                <c:pt idx="2">
                  <c:v>42186</c:v>
                </c:pt>
                <c:pt idx="3">
                  <c:v>42278</c:v>
                </c:pt>
                <c:pt idx="4">
                  <c:v>42370</c:v>
                </c:pt>
                <c:pt idx="5">
                  <c:v>42461</c:v>
                </c:pt>
                <c:pt idx="6">
                  <c:v>42552</c:v>
                </c:pt>
                <c:pt idx="7">
                  <c:v>42644</c:v>
                </c:pt>
                <c:pt idx="8">
                  <c:v>42736</c:v>
                </c:pt>
                <c:pt idx="9">
                  <c:v>42826</c:v>
                </c:pt>
                <c:pt idx="10">
                  <c:v>42917</c:v>
                </c:pt>
                <c:pt idx="11">
                  <c:v>43009</c:v>
                </c:pt>
                <c:pt idx="12">
                  <c:v>43101</c:v>
                </c:pt>
                <c:pt idx="13">
                  <c:v>43191</c:v>
                </c:pt>
                <c:pt idx="14">
                  <c:v>43282</c:v>
                </c:pt>
                <c:pt idx="15">
                  <c:v>43374</c:v>
                </c:pt>
                <c:pt idx="16">
                  <c:v>43466</c:v>
                </c:pt>
                <c:pt idx="17">
                  <c:v>43556</c:v>
                </c:pt>
                <c:pt idx="18">
                  <c:v>43647</c:v>
                </c:pt>
                <c:pt idx="19">
                  <c:v>43739</c:v>
                </c:pt>
                <c:pt idx="20">
                  <c:v>43831</c:v>
                </c:pt>
                <c:pt idx="21">
                  <c:v>43922</c:v>
                </c:pt>
                <c:pt idx="22">
                  <c:v>44013</c:v>
                </c:pt>
                <c:pt idx="23">
                  <c:v>44105</c:v>
                </c:pt>
                <c:pt idx="24">
                  <c:v>44197</c:v>
                </c:pt>
                <c:pt idx="25">
                  <c:v>44287</c:v>
                </c:pt>
                <c:pt idx="26">
                  <c:v>44378</c:v>
                </c:pt>
                <c:pt idx="27">
                  <c:v>44470</c:v>
                </c:pt>
                <c:pt idx="28">
                  <c:v>44562</c:v>
                </c:pt>
                <c:pt idx="29">
                  <c:v>44652</c:v>
                </c:pt>
                <c:pt idx="30">
                  <c:v>44743</c:v>
                </c:pt>
                <c:pt idx="31">
                  <c:v>44835</c:v>
                </c:pt>
                <c:pt idx="32">
                  <c:v>44927</c:v>
                </c:pt>
                <c:pt idx="33">
                  <c:v>45017</c:v>
                </c:pt>
                <c:pt idx="34">
                  <c:v>45108</c:v>
                </c:pt>
                <c:pt idx="35">
                  <c:v>45200</c:v>
                </c:pt>
                <c:pt idx="36">
                  <c:v>45292</c:v>
                </c:pt>
                <c:pt idx="37">
                  <c:v>45383</c:v>
                </c:pt>
                <c:pt idx="38">
                  <c:v>45474</c:v>
                </c:pt>
                <c:pt idx="39">
                  <c:v>45566</c:v>
                </c:pt>
                <c:pt idx="40">
                  <c:v>45657</c:v>
                </c:pt>
              </c:numCache>
            </c:numRef>
          </c:cat>
          <c:val>
            <c:numRef>
              <c:f>' sales forecast'!$D$2:$D$42</c:f>
              <c:numCache>
                <c:formatCode>General</c:formatCode>
                <c:ptCount val="41"/>
                <c:pt idx="31" formatCode="0.00">
                  <c:v>24683.489999999998</c:v>
                </c:pt>
                <c:pt idx="32" formatCode="0.00">
                  <c:v>17225.807824907024</c:v>
                </c:pt>
                <c:pt idx="33" formatCode="0.00">
                  <c:v>19014.578233499968</c:v>
                </c:pt>
                <c:pt idx="34" formatCode="0.00">
                  <c:v>15903.472709857138</c:v>
                </c:pt>
                <c:pt idx="35" formatCode="0.00">
                  <c:v>17760.089261379249</c:v>
                </c:pt>
                <c:pt idx="36" formatCode="0.00">
                  <c:v>14701.434567363143</c:v>
                </c:pt>
                <c:pt idx="37" formatCode="0.00">
                  <c:v>16599.862755188988</c:v>
                </c:pt>
                <c:pt idx="38" formatCode="0.00">
                  <c:v>13575.785270195569</c:v>
                </c:pt>
                <c:pt idx="39" formatCode="0.00">
                  <c:v>15503.200859209235</c:v>
                </c:pt>
                <c:pt idx="40" formatCode="0.00">
                  <c:v>12536.590318540933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6A-4B0D-9124-C9F7AFE57559}"/>
            </c:ext>
          </c:extLst>
        </c:ser>
        <c:ser>
          <c:idx val="3"/>
          <c:order val="3"/>
          <c:tx>
            <c:strRef>
              <c:f>' sales forecast'!$E$1</c:f>
              <c:strCache>
                <c:ptCount val="1"/>
                <c:pt idx="0">
                  <c:v>Upper Confidence Bound(Sony Sales)</c:v>
                </c:pt>
              </c:strCache>
            </c:strRef>
          </c:tx>
          <c:spPr>
            <a:ln w="12700" cap="rnd">
              <a:solidFill>
                <a:srgbClr val="ED7D31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' sales forecast'!$A$2:$A$42</c:f>
              <c:numCache>
                <c:formatCode>m/d/yyyy</c:formatCode>
                <c:ptCount val="41"/>
                <c:pt idx="0">
                  <c:v>42005</c:v>
                </c:pt>
                <c:pt idx="1">
                  <c:v>42095</c:v>
                </c:pt>
                <c:pt idx="2">
                  <c:v>42186</c:v>
                </c:pt>
                <c:pt idx="3">
                  <c:v>42278</c:v>
                </c:pt>
                <c:pt idx="4">
                  <c:v>42370</c:v>
                </c:pt>
                <c:pt idx="5">
                  <c:v>42461</c:v>
                </c:pt>
                <c:pt idx="6">
                  <c:v>42552</c:v>
                </c:pt>
                <c:pt idx="7">
                  <c:v>42644</c:v>
                </c:pt>
                <c:pt idx="8">
                  <c:v>42736</c:v>
                </c:pt>
                <c:pt idx="9">
                  <c:v>42826</c:v>
                </c:pt>
                <c:pt idx="10">
                  <c:v>42917</c:v>
                </c:pt>
                <c:pt idx="11">
                  <c:v>43009</c:v>
                </c:pt>
                <c:pt idx="12">
                  <c:v>43101</c:v>
                </c:pt>
                <c:pt idx="13">
                  <c:v>43191</c:v>
                </c:pt>
                <c:pt idx="14">
                  <c:v>43282</c:v>
                </c:pt>
                <c:pt idx="15">
                  <c:v>43374</c:v>
                </c:pt>
                <c:pt idx="16">
                  <c:v>43466</c:v>
                </c:pt>
                <c:pt idx="17">
                  <c:v>43556</c:v>
                </c:pt>
                <c:pt idx="18">
                  <c:v>43647</c:v>
                </c:pt>
                <c:pt idx="19">
                  <c:v>43739</c:v>
                </c:pt>
                <c:pt idx="20">
                  <c:v>43831</c:v>
                </c:pt>
                <c:pt idx="21">
                  <c:v>43922</c:v>
                </c:pt>
                <c:pt idx="22">
                  <c:v>44013</c:v>
                </c:pt>
                <c:pt idx="23">
                  <c:v>44105</c:v>
                </c:pt>
                <c:pt idx="24">
                  <c:v>44197</c:v>
                </c:pt>
                <c:pt idx="25">
                  <c:v>44287</c:v>
                </c:pt>
                <c:pt idx="26">
                  <c:v>44378</c:v>
                </c:pt>
                <c:pt idx="27">
                  <c:v>44470</c:v>
                </c:pt>
                <c:pt idx="28">
                  <c:v>44562</c:v>
                </c:pt>
                <c:pt idx="29">
                  <c:v>44652</c:v>
                </c:pt>
                <c:pt idx="30">
                  <c:v>44743</c:v>
                </c:pt>
                <c:pt idx="31">
                  <c:v>44835</c:v>
                </c:pt>
                <c:pt idx="32">
                  <c:v>44927</c:v>
                </c:pt>
                <c:pt idx="33">
                  <c:v>45017</c:v>
                </c:pt>
                <c:pt idx="34">
                  <c:v>45108</c:v>
                </c:pt>
                <c:pt idx="35">
                  <c:v>45200</c:v>
                </c:pt>
                <c:pt idx="36">
                  <c:v>45292</c:v>
                </c:pt>
                <c:pt idx="37">
                  <c:v>45383</c:v>
                </c:pt>
                <c:pt idx="38">
                  <c:v>45474</c:v>
                </c:pt>
                <c:pt idx="39">
                  <c:v>45566</c:v>
                </c:pt>
                <c:pt idx="40">
                  <c:v>45657</c:v>
                </c:pt>
              </c:numCache>
            </c:numRef>
          </c:cat>
          <c:val>
            <c:numRef>
              <c:f>' sales forecast'!$E$2:$E$42</c:f>
              <c:numCache>
                <c:formatCode>General</c:formatCode>
                <c:ptCount val="41"/>
                <c:pt idx="31" formatCode="0.00">
                  <c:v>24683.489999999998</c:v>
                </c:pt>
                <c:pt idx="32" formatCode="0.00">
                  <c:v>24196.38778602839</c:v>
                </c:pt>
                <c:pt idx="33" formatCode="0.00">
                  <c:v>26814.168195088474</c:v>
                </c:pt>
                <c:pt idx="34" formatCode="0.00">
                  <c:v>24457.768892550739</c:v>
                </c:pt>
                <c:pt idx="35" formatCode="0.00">
                  <c:v>27007.703158681648</c:v>
                </c:pt>
                <c:pt idx="36" formatCode="0.00">
                  <c:v>24598.85302651719</c:v>
                </c:pt>
                <c:pt idx="37" formatCode="0.00">
                  <c:v>27106.975656344373</c:v>
                </c:pt>
                <c:pt idx="38" formatCode="0.00">
                  <c:v>24663.548315157226</c:v>
                </c:pt>
                <c:pt idx="39" formatCode="0.00">
                  <c:v>27142.683543796589</c:v>
                </c:pt>
                <c:pt idx="40" formatCode="0.00">
                  <c:v>24701.218658568898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756A-4B0D-9124-C9F7AFE575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26282368"/>
        <c:axId val="626285648"/>
      </c:lineChart>
      <c:catAx>
        <c:axId val="626282368"/>
        <c:scaling>
          <c:orientation val="minMax"/>
        </c:scaling>
        <c:delete val="0"/>
        <c:axPos val="b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6285648"/>
        <c:crosses val="autoZero"/>
        <c:auto val="1"/>
        <c:lblAlgn val="ctr"/>
        <c:lblOffset val="100"/>
        <c:noMultiLvlLbl val="0"/>
      </c:catAx>
      <c:valAx>
        <c:axId val="6262856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62823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 Income forecast'!$B$1</c:f>
              <c:strCache>
                <c:ptCount val="1"/>
                <c:pt idx="0">
                  <c:v>Sony Income Before Extraordinary Items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 Income forecast'!$B$2:$B$42</c:f>
              <c:numCache>
                <c:formatCode>0.00</c:formatCode>
                <c:ptCount val="41"/>
                <c:pt idx="0">
                  <c:v>2629.6109999999999</c:v>
                </c:pt>
                <c:pt idx="1">
                  <c:v>3423.2459999999996</c:v>
                </c:pt>
                <c:pt idx="2">
                  <c:v>3628.4789999999998</c:v>
                </c:pt>
                <c:pt idx="3">
                  <c:v>5314.8269999999993</c:v>
                </c:pt>
                <c:pt idx="4">
                  <c:v>2894.4929999999995</c:v>
                </c:pt>
                <c:pt idx="5">
                  <c:v>3703.2929999999997</c:v>
                </c:pt>
                <c:pt idx="6">
                  <c:v>3881.2289999999998</c:v>
                </c:pt>
                <c:pt idx="7">
                  <c:v>5550.3899999999994</c:v>
                </c:pt>
                <c:pt idx="8">
                  <c:v>3099.7259999999997</c:v>
                </c:pt>
                <c:pt idx="9">
                  <c:v>3924.7019999999998</c:v>
                </c:pt>
                <c:pt idx="10">
                  <c:v>3865.0529999999994</c:v>
                </c:pt>
                <c:pt idx="11">
                  <c:v>5897.1629999999996</c:v>
                </c:pt>
                <c:pt idx="12">
                  <c:v>3065.3519999999999</c:v>
                </c:pt>
                <c:pt idx="13">
                  <c:v>3532.4339999999997</c:v>
                </c:pt>
                <c:pt idx="14">
                  <c:v>4184.5289999999995</c:v>
                </c:pt>
                <c:pt idx="15">
                  <c:v>6284.3759999999993</c:v>
                </c:pt>
                <c:pt idx="16">
                  <c:v>2557.83</c:v>
                </c:pt>
                <c:pt idx="17">
                  <c:v>4298.7719999999999</c:v>
                </c:pt>
                <c:pt idx="18">
                  <c:v>3493.0049999999997</c:v>
                </c:pt>
                <c:pt idx="19">
                  <c:v>5574.6539999999995</c:v>
                </c:pt>
                <c:pt idx="20">
                  <c:v>2441.5649999999996</c:v>
                </c:pt>
                <c:pt idx="21">
                  <c:v>3565.7969999999996</c:v>
                </c:pt>
                <c:pt idx="22">
                  <c:v>2994.5819999999999</c:v>
                </c:pt>
                <c:pt idx="23">
                  <c:v>4509.0599999999995</c:v>
                </c:pt>
                <c:pt idx="24">
                  <c:v>2038.1759999999997</c:v>
                </c:pt>
                <c:pt idx="25">
                  <c:v>2532.5549999999998</c:v>
                </c:pt>
                <c:pt idx="26">
                  <c:v>2885.3939999999998</c:v>
                </c:pt>
                <c:pt idx="27">
                  <c:v>4555.5659999999998</c:v>
                </c:pt>
                <c:pt idx="28">
                  <c:v>1772.2829999999999</c:v>
                </c:pt>
                <c:pt idx="29">
                  <c:v>2357.6519999999996</c:v>
                </c:pt>
                <c:pt idx="30">
                  <c:v>2754.9749999999999</c:v>
                </c:pt>
                <c:pt idx="31">
                  <c:v>-1063.5719999999999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92A-48FB-BAB2-09F0F250D4DB}"/>
            </c:ext>
          </c:extLst>
        </c:ser>
        <c:ser>
          <c:idx val="1"/>
          <c:order val="1"/>
          <c:tx>
            <c:strRef>
              <c:f>' Income forecast'!$C$1</c:f>
              <c:strCache>
                <c:ptCount val="1"/>
                <c:pt idx="0">
                  <c:v>Forecast(Sony Income Before Extraordinary Items)</c:v>
                </c:pt>
              </c:strCache>
            </c:strRef>
          </c:tx>
          <c:spPr>
            <a:ln w="2540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 Income forecast'!$A$2:$A$42</c:f>
              <c:numCache>
                <c:formatCode>m/d/yyyy</c:formatCode>
                <c:ptCount val="41"/>
                <c:pt idx="0">
                  <c:v>42005</c:v>
                </c:pt>
                <c:pt idx="1">
                  <c:v>42095</c:v>
                </c:pt>
                <c:pt idx="2">
                  <c:v>42186</c:v>
                </c:pt>
                <c:pt idx="3">
                  <c:v>42278</c:v>
                </c:pt>
                <c:pt idx="4">
                  <c:v>42370</c:v>
                </c:pt>
                <c:pt idx="5">
                  <c:v>42461</c:v>
                </c:pt>
                <c:pt idx="6">
                  <c:v>42552</c:v>
                </c:pt>
                <c:pt idx="7">
                  <c:v>42644</c:v>
                </c:pt>
                <c:pt idx="8">
                  <c:v>42736</c:v>
                </c:pt>
                <c:pt idx="9">
                  <c:v>42826</c:v>
                </c:pt>
                <c:pt idx="10">
                  <c:v>42917</c:v>
                </c:pt>
                <c:pt idx="11">
                  <c:v>43009</c:v>
                </c:pt>
                <c:pt idx="12">
                  <c:v>43101</c:v>
                </c:pt>
                <c:pt idx="13">
                  <c:v>43191</c:v>
                </c:pt>
                <c:pt idx="14">
                  <c:v>43282</c:v>
                </c:pt>
                <c:pt idx="15">
                  <c:v>43374</c:v>
                </c:pt>
                <c:pt idx="16">
                  <c:v>43466</c:v>
                </c:pt>
                <c:pt idx="17">
                  <c:v>43556</c:v>
                </c:pt>
                <c:pt idx="18">
                  <c:v>43647</c:v>
                </c:pt>
                <c:pt idx="19">
                  <c:v>43739</c:v>
                </c:pt>
                <c:pt idx="20">
                  <c:v>43831</c:v>
                </c:pt>
                <c:pt idx="21">
                  <c:v>43922</c:v>
                </c:pt>
                <c:pt idx="22">
                  <c:v>44013</c:v>
                </c:pt>
                <c:pt idx="23">
                  <c:v>44105</c:v>
                </c:pt>
                <c:pt idx="24">
                  <c:v>44197</c:v>
                </c:pt>
                <c:pt idx="25">
                  <c:v>44287</c:v>
                </c:pt>
                <c:pt idx="26">
                  <c:v>44378</c:v>
                </c:pt>
                <c:pt idx="27">
                  <c:v>44470</c:v>
                </c:pt>
                <c:pt idx="28">
                  <c:v>44562</c:v>
                </c:pt>
                <c:pt idx="29">
                  <c:v>44652</c:v>
                </c:pt>
                <c:pt idx="30">
                  <c:v>44743</c:v>
                </c:pt>
                <c:pt idx="31">
                  <c:v>44835</c:v>
                </c:pt>
                <c:pt idx="32">
                  <c:v>44927</c:v>
                </c:pt>
                <c:pt idx="33">
                  <c:v>45017</c:v>
                </c:pt>
                <c:pt idx="34">
                  <c:v>45108</c:v>
                </c:pt>
                <c:pt idx="35">
                  <c:v>45200</c:v>
                </c:pt>
                <c:pt idx="36">
                  <c:v>45292</c:v>
                </c:pt>
                <c:pt idx="37">
                  <c:v>45383</c:v>
                </c:pt>
                <c:pt idx="38">
                  <c:v>45474</c:v>
                </c:pt>
                <c:pt idx="39">
                  <c:v>45566</c:v>
                </c:pt>
                <c:pt idx="40">
                  <c:v>45657</c:v>
                </c:pt>
              </c:numCache>
            </c:numRef>
          </c:cat>
          <c:val>
            <c:numRef>
              <c:f>' Income forecast'!$C$2:$C$42</c:f>
              <c:numCache>
                <c:formatCode>General</c:formatCode>
                <c:ptCount val="41"/>
                <c:pt idx="31" formatCode="0.00">
                  <c:v>-1063.5719999999999</c:v>
                </c:pt>
                <c:pt idx="32" formatCode="0.00">
                  <c:v>1647.0383539748057</c:v>
                </c:pt>
                <c:pt idx="33" formatCode="0.00">
                  <c:v>1235.7066792921555</c:v>
                </c:pt>
                <c:pt idx="34" formatCode="0.00">
                  <c:v>824.3750046094973</c:v>
                </c:pt>
                <c:pt idx="35" formatCode="0.00">
                  <c:v>413.04332992684715</c:v>
                </c:pt>
                <c:pt idx="36" formatCode="0.00">
                  <c:v>1.711655244189265</c:v>
                </c:pt>
                <c:pt idx="37" formatCode="0.00">
                  <c:v>-409.62001943846133</c:v>
                </c:pt>
                <c:pt idx="38" formatCode="0.00">
                  <c:v>-820.9516941211192</c:v>
                </c:pt>
                <c:pt idx="39" formatCode="0.00">
                  <c:v>-1232.2833688037692</c:v>
                </c:pt>
                <c:pt idx="40" formatCode="0.00">
                  <c:v>-1639.1440470224857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92A-48FB-BAB2-09F0F250D4DB}"/>
            </c:ext>
          </c:extLst>
        </c:ser>
        <c:ser>
          <c:idx val="2"/>
          <c:order val="2"/>
          <c:tx>
            <c:strRef>
              <c:f>' Income forecast'!$D$1</c:f>
              <c:strCache>
                <c:ptCount val="1"/>
                <c:pt idx="0">
                  <c:v>Lower Confidence Bound(Sony Income Before Extraordinary Items)</c:v>
                </c:pt>
              </c:strCache>
            </c:strRef>
          </c:tx>
          <c:spPr>
            <a:ln w="12700" cap="rnd">
              <a:solidFill>
                <a:srgbClr val="ED7D31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' Income forecast'!$A$2:$A$42</c:f>
              <c:numCache>
                <c:formatCode>m/d/yyyy</c:formatCode>
                <c:ptCount val="41"/>
                <c:pt idx="0">
                  <c:v>42005</c:v>
                </c:pt>
                <c:pt idx="1">
                  <c:v>42095</c:v>
                </c:pt>
                <c:pt idx="2">
                  <c:v>42186</c:v>
                </c:pt>
                <c:pt idx="3">
                  <c:v>42278</c:v>
                </c:pt>
                <c:pt idx="4">
                  <c:v>42370</c:v>
                </c:pt>
                <c:pt idx="5">
                  <c:v>42461</c:v>
                </c:pt>
                <c:pt idx="6">
                  <c:v>42552</c:v>
                </c:pt>
                <c:pt idx="7">
                  <c:v>42644</c:v>
                </c:pt>
                <c:pt idx="8">
                  <c:v>42736</c:v>
                </c:pt>
                <c:pt idx="9">
                  <c:v>42826</c:v>
                </c:pt>
                <c:pt idx="10">
                  <c:v>42917</c:v>
                </c:pt>
                <c:pt idx="11">
                  <c:v>43009</c:v>
                </c:pt>
                <c:pt idx="12">
                  <c:v>43101</c:v>
                </c:pt>
                <c:pt idx="13">
                  <c:v>43191</c:v>
                </c:pt>
                <c:pt idx="14">
                  <c:v>43282</c:v>
                </c:pt>
                <c:pt idx="15">
                  <c:v>43374</c:v>
                </c:pt>
                <c:pt idx="16">
                  <c:v>43466</c:v>
                </c:pt>
                <c:pt idx="17">
                  <c:v>43556</c:v>
                </c:pt>
                <c:pt idx="18">
                  <c:v>43647</c:v>
                </c:pt>
                <c:pt idx="19">
                  <c:v>43739</c:v>
                </c:pt>
                <c:pt idx="20">
                  <c:v>43831</c:v>
                </c:pt>
                <c:pt idx="21">
                  <c:v>43922</c:v>
                </c:pt>
                <c:pt idx="22">
                  <c:v>44013</c:v>
                </c:pt>
                <c:pt idx="23">
                  <c:v>44105</c:v>
                </c:pt>
                <c:pt idx="24">
                  <c:v>44197</c:v>
                </c:pt>
                <c:pt idx="25">
                  <c:v>44287</c:v>
                </c:pt>
                <c:pt idx="26">
                  <c:v>44378</c:v>
                </c:pt>
                <c:pt idx="27">
                  <c:v>44470</c:v>
                </c:pt>
                <c:pt idx="28">
                  <c:v>44562</c:v>
                </c:pt>
                <c:pt idx="29">
                  <c:v>44652</c:v>
                </c:pt>
                <c:pt idx="30">
                  <c:v>44743</c:v>
                </c:pt>
                <c:pt idx="31">
                  <c:v>44835</c:v>
                </c:pt>
                <c:pt idx="32">
                  <c:v>44927</c:v>
                </c:pt>
                <c:pt idx="33">
                  <c:v>45017</c:v>
                </c:pt>
                <c:pt idx="34">
                  <c:v>45108</c:v>
                </c:pt>
                <c:pt idx="35">
                  <c:v>45200</c:v>
                </c:pt>
                <c:pt idx="36">
                  <c:v>45292</c:v>
                </c:pt>
                <c:pt idx="37">
                  <c:v>45383</c:v>
                </c:pt>
                <c:pt idx="38">
                  <c:v>45474</c:v>
                </c:pt>
                <c:pt idx="39">
                  <c:v>45566</c:v>
                </c:pt>
                <c:pt idx="40">
                  <c:v>45657</c:v>
                </c:pt>
              </c:numCache>
            </c:numRef>
          </c:cat>
          <c:val>
            <c:numRef>
              <c:f>' Income forecast'!$D$2:$D$42</c:f>
              <c:numCache>
                <c:formatCode>General</c:formatCode>
                <c:ptCount val="41"/>
                <c:pt idx="31" formatCode="0.00">
                  <c:v>-1063.5719999999999</c:v>
                </c:pt>
                <c:pt idx="32" formatCode="0.00">
                  <c:v>-943.65266589780845</c:v>
                </c:pt>
                <c:pt idx="33" formatCode="0.00">
                  <c:v>-1405.7832787736197</c:v>
                </c:pt>
                <c:pt idx="34" formatCode="0.00">
                  <c:v>-1927.6230378625551</c:v>
                </c:pt>
                <c:pt idx="35" formatCode="0.00">
                  <c:v>-2524.8665381011624</c:v>
                </c:pt>
                <c:pt idx="36" formatCode="0.00">
                  <c:v>-3204.9213218528284</c:v>
                </c:pt>
                <c:pt idx="37" formatCode="0.00">
                  <c:v>-3967.5123095175049</c:v>
                </c:pt>
                <c:pt idx="38" formatCode="0.00">
                  <c:v>-4807.326518097726</c:v>
                </c:pt>
                <c:pt idx="39" formatCode="0.00">
                  <c:v>-5716.9034718540452</c:v>
                </c:pt>
                <c:pt idx="40" formatCode="0.00">
                  <c:v>-6678.3913601327513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92A-48FB-BAB2-09F0F250D4DB}"/>
            </c:ext>
          </c:extLst>
        </c:ser>
        <c:ser>
          <c:idx val="3"/>
          <c:order val="3"/>
          <c:tx>
            <c:strRef>
              <c:f>' Income forecast'!$E$1</c:f>
              <c:strCache>
                <c:ptCount val="1"/>
                <c:pt idx="0">
                  <c:v>Upper Confidence Bound(Sony Income Before Extraordinary Items)</c:v>
                </c:pt>
              </c:strCache>
            </c:strRef>
          </c:tx>
          <c:spPr>
            <a:ln w="12700" cap="rnd">
              <a:solidFill>
                <a:srgbClr val="ED7D31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' Income forecast'!$A$2:$A$42</c:f>
              <c:numCache>
                <c:formatCode>m/d/yyyy</c:formatCode>
                <c:ptCount val="41"/>
                <c:pt idx="0">
                  <c:v>42005</c:v>
                </c:pt>
                <c:pt idx="1">
                  <c:v>42095</c:v>
                </c:pt>
                <c:pt idx="2">
                  <c:v>42186</c:v>
                </c:pt>
                <c:pt idx="3">
                  <c:v>42278</c:v>
                </c:pt>
                <c:pt idx="4">
                  <c:v>42370</c:v>
                </c:pt>
                <c:pt idx="5">
                  <c:v>42461</c:v>
                </c:pt>
                <c:pt idx="6">
                  <c:v>42552</c:v>
                </c:pt>
                <c:pt idx="7">
                  <c:v>42644</c:v>
                </c:pt>
                <c:pt idx="8">
                  <c:v>42736</c:v>
                </c:pt>
                <c:pt idx="9">
                  <c:v>42826</c:v>
                </c:pt>
                <c:pt idx="10">
                  <c:v>42917</c:v>
                </c:pt>
                <c:pt idx="11">
                  <c:v>43009</c:v>
                </c:pt>
                <c:pt idx="12">
                  <c:v>43101</c:v>
                </c:pt>
                <c:pt idx="13">
                  <c:v>43191</c:v>
                </c:pt>
                <c:pt idx="14">
                  <c:v>43282</c:v>
                </c:pt>
                <c:pt idx="15">
                  <c:v>43374</c:v>
                </c:pt>
                <c:pt idx="16">
                  <c:v>43466</c:v>
                </c:pt>
                <c:pt idx="17">
                  <c:v>43556</c:v>
                </c:pt>
                <c:pt idx="18">
                  <c:v>43647</c:v>
                </c:pt>
                <c:pt idx="19">
                  <c:v>43739</c:v>
                </c:pt>
                <c:pt idx="20">
                  <c:v>43831</c:v>
                </c:pt>
                <c:pt idx="21">
                  <c:v>43922</c:v>
                </c:pt>
                <c:pt idx="22">
                  <c:v>44013</c:v>
                </c:pt>
                <c:pt idx="23">
                  <c:v>44105</c:v>
                </c:pt>
                <c:pt idx="24">
                  <c:v>44197</c:v>
                </c:pt>
                <c:pt idx="25">
                  <c:v>44287</c:v>
                </c:pt>
                <c:pt idx="26">
                  <c:v>44378</c:v>
                </c:pt>
                <c:pt idx="27">
                  <c:v>44470</c:v>
                </c:pt>
                <c:pt idx="28">
                  <c:v>44562</c:v>
                </c:pt>
                <c:pt idx="29">
                  <c:v>44652</c:v>
                </c:pt>
                <c:pt idx="30">
                  <c:v>44743</c:v>
                </c:pt>
                <c:pt idx="31">
                  <c:v>44835</c:v>
                </c:pt>
                <c:pt idx="32">
                  <c:v>44927</c:v>
                </c:pt>
                <c:pt idx="33">
                  <c:v>45017</c:v>
                </c:pt>
                <c:pt idx="34">
                  <c:v>45108</c:v>
                </c:pt>
                <c:pt idx="35">
                  <c:v>45200</c:v>
                </c:pt>
                <c:pt idx="36">
                  <c:v>45292</c:v>
                </c:pt>
                <c:pt idx="37">
                  <c:v>45383</c:v>
                </c:pt>
                <c:pt idx="38">
                  <c:v>45474</c:v>
                </c:pt>
                <c:pt idx="39">
                  <c:v>45566</c:v>
                </c:pt>
                <c:pt idx="40">
                  <c:v>45657</c:v>
                </c:pt>
              </c:numCache>
            </c:numRef>
          </c:cat>
          <c:val>
            <c:numRef>
              <c:f>' Income forecast'!$E$2:$E$42</c:f>
              <c:numCache>
                <c:formatCode>General</c:formatCode>
                <c:ptCount val="41"/>
                <c:pt idx="31" formatCode="0.00">
                  <c:v>-1063.5719999999999</c:v>
                </c:pt>
                <c:pt idx="32" formatCode="0.00">
                  <c:v>4237.72937384742</c:v>
                </c:pt>
                <c:pt idx="33" formatCode="0.00">
                  <c:v>3877.1966373579307</c:v>
                </c:pt>
                <c:pt idx="34" formatCode="0.00">
                  <c:v>3576.3730470815499</c:v>
                </c:pt>
                <c:pt idx="35" formatCode="0.00">
                  <c:v>3350.9531979548565</c:v>
                </c:pt>
                <c:pt idx="36" formatCode="0.00">
                  <c:v>3208.3446323412072</c:v>
                </c:pt>
                <c:pt idx="37" formatCode="0.00">
                  <c:v>3148.2722706405821</c:v>
                </c:pt>
                <c:pt idx="38" formatCode="0.00">
                  <c:v>3165.4231298554878</c:v>
                </c:pt>
                <c:pt idx="39" formatCode="0.00">
                  <c:v>3252.3367342465071</c:v>
                </c:pt>
                <c:pt idx="40" formatCode="0.00">
                  <c:v>3400.1032660877804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92A-48FB-BAB2-09F0F250D4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17597112"/>
        <c:axId val="617598424"/>
      </c:lineChart>
      <c:catAx>
        <c:axId val="617597112"/>
        <c:scaling>
          <c:orientation val="minMax"/>
        </c:scaling>
        <c:delete val="0"/>
        <c:axPos val="b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7598424"/>
        <c:crosses val="autoZero"/>
        <c:auto val="1"/>
        <c:lblAlgn val="ctr"/>
        <c:lblOffset val="100"/>
        <c:noMultiLvlLbl val="0"/>
      </c:catAx>
      <c:valAx>
        <c:axId val="617598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75971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301625</xdr:colOff>
      <xdr:row>21</xdr:row>
      <xdr:rowOff>152400</xdr:rowOff>
    </xdr:from>
    <xdr:to>
      <xdr:col>18</xdr:col>
      <xdr:colOff>339725</xdr:colOff>
      <xdr:row>37</xdr:row>
      <xdr:rowOff>139700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E25D2E2-E762-43BA-BA1D-BA3B404296C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460375</xdr:colOff>
      <xdr:row>22</xdr:row>
      <xdr:rowOff>133350</xdr:rowOff>
    </xdr:from>
    <xdr:to>
      <xdr:col>16</xdr:col>
      <xdr:colOff>530225</xdr:colOff>
      <xdr:row>38</xdr:row>
      <xdr:rowOff>120650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5EFADF8-3208-4143-BEC8-B431CECC0BD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BFB5436-BEB9-4EEE-B6EE-501F64A48984}" name="Table1" displayName="Table1" ref="A1:E42" totalsRowShown="0">
  <autoFilter ref="A1:E42" xr:uid="{93C46F89-C205-4629-B303-7C00C7262B77}"/>
  <tableColumns count="5">
    <tableColumn id="1" xr3:uid="{004ADF0F-5659-404E-815E-C2FEF1A1347E}" name="Date" dataDxfId="9"/>
    <tableColumn id="2" xr3:uid="{AB6D3218-408D-414D-8D3D-B8AF0904BD5B}" name="Sony Sales"/>
    <tableColumn id="3" xr3:uid="{8C3F3B03-CF71-4F2E-8F82-0215C4626545}" name="Forecast(Sony Sales)" dataDxfId="8">
      <calculatedColumnFormula>_xlfn.FORECAST.ETS(A2,$B$2:$B$33,$A$2:$A$33,1,1)</calculatedColumnFormula>
    </tableColumn>
    <tableColumn id="4" xr3:uid="{905161F1-0F72-49D5-9773-6333B4E15A3C}" name="Lower Confidence Bound(Sony Sales)" dataDxfId="7">
      <calculatedColumnFormula>C2-_xlfn.FORECAST.ETS.CONFINT(A2,$B$2:$B$33,$A$2:$A$33,0.95,1,1)</calculatedColumnFormula>
    </tableColumn>
    <tableColumn id="5" xr3:uid="{0A07DC26-0988-4A16-886E-96490729C053}" name="Upper Confidence Bound(Sony Sales)" dataDxfId="6">
      <calculatedColumnFormula>C2+_xlfn.FORECAST.ETS.CONFINT(A2,$B$2:$B$33,$A$2:$A$33,0.95,1,1)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83C1030-04C3-444C-82A9-1FA793E76A0E}" name="Table2" displayName="Table2" ref="G1:H8" totalsRowShown="0">
  <autoFilter ref="G1:H8" xr:uid="{5DAA9D65-BCCA-46B3-B24A-7BE864864745}"/>
  <tableColumns count="2">
    <tableColumn id="1" xr3:uid="{D4D46541-2355-4483-A761-8442EDB69967}" name="Statistic"/>
    <tableColumn id="2" xr3:uid="{9DE467AA-A7CD-4AFE-B1BC-8312A88CC1E5}" name="Value" dataDxfId="5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4DFC68D-9D2E-4ACF-87FC-1FA1520E7F57}" name="Table3" displayName="Table3" ref="A1:E42" totalsRowShown="0">
  <autoFilter ref="A1:E42" xr:uid="{30C12C5A-EDA9-4C58-8200-4474EAE5E651}"/>
  <tableColumns count="5">
    <tableColumn id="1" xr3:uid="{5ED290EC-A4DB-4426-9FCF-8FD1D964D836}" name="Date" dataDxfId="4"/>
    <tableColumn id="2" xr3:uid="{9683979C-327A-46C8-9A5A-8F8FFD057C44}" name="Sony Income Before Extraordinary Items"/>
    <tableColumn id="3" xr3:uid="{22B476E5-FC7B-4750-8D9B-171FA74B238E}" name="Forecast(Sony Income Before Extraordinary Items)" dataDxfId="3">
      <calculatedColumnFormula>_xlfn.FORECAST.ETS(A2,$B$2:$B$33,$A$2:$A$33,1,1)</calculatedColumnFormula>
    </tableColumn>
    <tableColumn id="4" xr3:uid="{144B1432-E16A-4FC1-8411-224D1740F9B5}" name="Lower Confidence Bound(Sony Income Before Extraordinary Items)" dataDxfId="2">
      <calculatedColumnFormula>C2-_xlfn.FORECAST.ETS.CONFINT(A2,$B$2:$B$33,$A$2:$A$33,0.95,1,1)</calculatedColumnFormula>
    </tableColumn>
    <tableColumn id="5" xr3:uid="{647EBBDA-07A7-4D83-89C8-FDC55F7D04AB}" name="Upper Confidence Bound(Sony Income Before Extraordinary Items)" dataDxfId="1">
      <calculatedColumnFormula>C2+_xlfn.FORECAST.ETS.CONFINT(A2,$B$2:$B$33,$A$2:$A$33,0.95,1,1)</calculatedColumnFormula>
    </tableColumn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A6468555-5A2C-4F86-8359-D7364E18F61F}" name="Table4" displayName="Table4" ref="G1:H8" totalsRowShown="0">
  <autoFilter ref="G1:H8" xr:uid="{D67B2FEB-1E65-4A6B-982C-C08B69D0BBCE}"/>
  <tableColumns count="2">
    <tableColumn id="1" xr3:uid="{F6FF26AC-143A-4270-9C40-8AE0FEFAD1B0}" name="Statistic"/>
    <tableColumn id="2" xr3:uid="{DBD0CF9E-C3E4-4954-8399-70D3B7C2FEEF}" name="Valu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Relationship Id="rId4" Type="http://schemas.openxmlformats.org/officeDocument/2006/relationships/table" Target="../tables/table4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719736-861B-4D58-99C5-8F6B56B856DC}">
  <dimension ref="A1:H42"/>
  <sheetViews>
    <sheetView workbookViewId="0">
      <selection activeCell="E41" sqref="E41"/>
    </sheetView>
  </sheetViews>
  <sheetFormatPr defaultRowHeight="14.5" x14ac:dyDescent="0.35"/>
  <cols>
    <col min="1" max="1" width="10.08984375" bestFit="1" customWidth="1"/>
    <col min="2" max="2" width="11.453125" customWidth="1"/>
    <col min="3" max="3" width="19.81640625" customWidth="1"/>
    <col min="4" max="4" width="33.54296875" customWidth="1"/>
    <col min="5" max="5" width="33.6328125" customWidth="1"/>
    <col min="7" max="7" width="9.453125" customWidth="1"/>
    <col min="8" max="8" width="7.54296875" customWidth="1"/>
  </cols>
  <sheetData>
    <row r="1" spans="1:8" x14ac:dyDescent="0.35">
      <c r="A1" t="s">
        <v>0</v>
      </c>
      <c r="B1" t="s">
        <v>1</v>
      </c>
      <c r="C1" t="s">
        <v>3</v>
      </c>
      <c r="D1" t="s">
        <v>4</v>
      </c>
      <c r="E1" t="s">
        <v>5</v>
      </c>
      <c r="G1" t="s">
        <v>6</v>
      </c>
      <c r="H1" t="s">
        <v>7</v>
      </c>
    </row>
    <row r="2" spans="1:8" x14ac:dyDescent="0.35">
      <c r="A2" s="2">
        <v>42005</v>
      </c>
      <c r="B2" s="4">
        <v>25028.415000000001</v>
      </c>
      <c r="G2" t="s">
        <v>8</v>
      </c>
      <c r="H2" s="7">
        <f>_xlfn.FORECAST.ETS.STAT($B$2:$B$33,$A$2:$A$33,1,1,1)</f>
        <v>0.501</v>
      </c>
    </row>
    <row r="3" spans="1:8" x14ac:dyDescent="0.35">
      <c r="A3" s="2">
        <v>42095</v>
      </c>
      <c r="B3" s="4">
        <v>25977.78</v>
      </c>
      <c r="G3" t="s">
        <v>9</v>
      </c>
      <c r="H3" s="7">
        <f>_xlfn.FORECAST.ETS.STAT($B$2:$B$33,$A$2:$A$33,2,1,1)</f>
        <v>1E-3</v>
      </c>
    </row>
    <row r="4" spans="1:8" x14ac:dyDescent="0.35">
      <c r="A4" s="2">
        <v>42186</v>
      </c>
      <c r="B4" s="4">
        <v>26576.744999999999</v>
      </c>
      <c r="G4" t="s">
        <v>10</v>
      </c>
      <c r="H4" s="7">
        <f>_xlfn.FORECAST.ETS.STAT($B$2:$B$33,$A$2:$A$33,3,1,1)</f>
        <v>1E-3</v>
      </c>
    </row>
    <row r="5" spans="1:8" x14ac:dyDescent="0.35">
      <c r="A5" s="2">
        <v>42278</v>
      </c>
      <c r="B5" s="4">
        <v>31775.805</v>
      </c>
      <c r="G5" t="s">
        <v>11</v>
      </c>
      <c r="H5" s="7">
        <f>_xlfn.FORECAST.ETS.STAT($B$2:$B$33,$A$2:$A$33,4,1,1)</f>
        <v>0.37917411360617104</v>
      </c>
    </row>
    <row r="6" spans="1:8" x14ac:dyDescent="0.35">
      <c r="A6" s="2">
        <v>42370</v>
      </c>
      <c r="B6" s="4">
        <v>26944.665000000001</v>
      </c>
      <c r="G6" t="s">
        <v>12</v>
      </c>
      <c r="H6" s="7">
        <f>_xlfn.FORECAST.ETS.STAT($B$2:$B$33,$A$2:$A$33,5,1,1)</f>
        <v>5.0534476701865762E-2</v>
      </c>
    </row>
    <row r="7" spans="1:8" x14ac:dyDescent="0.35">
      <c r="A7" s="2">
        <v>42461</v>
      </c>
      <c r="B7" s="4">
        <v>29199.27</v>
      </c>
      <c r="G7" t="s">
        <v>13</v>
      </c>
      <c r="H7" s="7">
        <f>_xlfn.FORECAST.ETS.STAT($B$2:$B$33,$A$2:$A$33,6,1,1)</f>
        <v>1101.8501818877496</v>
      </c>
    </row>
    <row r="8" spans="1:8" x14ac:dyDescent="0.35">
      <c r="A8" s="2">
        <v>42552</v>
      </c>
      <c r="B8" s="4">
        <v>28641.915000000001</v>
      </c>
      <c r="G8" t="s">
        <v>14</v>
      </c>
      <c r="H8" s="7">
        <f>_xlfn.FORECAST.ETS.STAT($B$2:$B$33,$A$2:$A$33,7,1,1)</f>
        <v>1291.3927206233143</v>
      </c>
    </row>
    <row r="9" spans="1:8" x14ac:dyDescent="0.35">
      <c r="A9" s="2">
        <v>42644</v>
      </c>
      <c r="B9" s="4">
        <v>32287.17</v>
      </c>
    </row>
    <row r="10" spans="1:8" x14ac:dyDescent="0.35">
      <c r="A10" s="2">
        <v>42736</v>
      </c>
      <c r="B10" s="4">
        <v>27016.934999999998</v>
      </c>
    </row>
    <row r="11" spans="1:8" x14ac:dyDescent="0.35">
      <c r="A11" s="2">
        <v>42826</v>
      </c>
      <c r="B11" s="4">
        <v>28232.384999999998</v>
      </c>
    </row>
    <row r="12" spans="1:8" x14ac:dyDescent="0.35">
      <c r="A12" s="2">
        <v>42917</v>
      </c>
      <c r="B12" s="4">
        <v>27097.965</v>
      </c>
    </row>
    <row r="13" spans="1:8" x14ac:dyDescent="0.35">
      <c r="A13" s="2">
        <v>43009</v>
      </c>
      <c r="B13" s="4">
        <v>32087.88</v>
      </c>
    </row>
    <row r="14" spans="1:8" x14ac:dyDescent="0.35">
      <c r="A14" s="2">
        <v>43101</v>
      </c>
      <c r="B14" s="4">
        <v>25631.759999999998</v>
      </c>
    </row>
    <row r="15" spans="1:8" x14ac:dyDescent="0.35">
      <c r="A15" s="2">
        <v>43191</v>
      </c>
      <c r="B15" s="4">
        <v>26538.42</v>
      </c>
    </row>
    <row r="16" spans="1:8" x14ac:dyDescent="0.35">
      <c r="A16" s="2">
        <v>43282</v>
      </c>
      <c r="B16" s="4">
        <v>25555.11</v>
      </c>
    </row>
    <row r="17" spans="1:2" x14ac:dyDescent="0.35">
      <c r="A17" s="2">
        <v>43374</v>
      </c>
      <c r="B17" s="4">
        <v>29987.67</v>
      </c>
    </row>
    <row r="18" spans="1:2" x14ac:dyDescent="0.35">
      <c r="A18" s="2">
        <v>43466</v>
      </c>
      <c r="B18" s="4">
        <v>24348.42</v>
      </c>
    </row>
    <row r="19" spans="1:2" x14ac:dyDescent="0.35">
      <c r="A19" s="2">
        <v>43556</v>
      </c>
      <c r="B19" s="4">
        <v>26331.465</v>
      </c>
    </row>
    <row r="20" spans="1:2" x14ac:dyDescent="0.35">
      <c r="A20" s="2">
        <v>43647</v>
      </c>
      <c r="B20" s="4">
        <v>24524.715</v>
      </c>
    </row>
    <row r="21" spans="1:2" x14ac:dyDescent="0.35">
      <c r="A21" s="2">
        <v>43739</v>
      </c>
      <c r="B21" s="4">
        <v>26403.735000000001</v>
      </c>
    </row>
    <row r="22" spans="1:2" x14ac:dyDescent="0.35">
      <c r="A22" s="2">
        <v>43831</v>
      </c>
      <c r="B22" s="4">
        <v>21451.05</v>
      </c>
    </row>
    <row r="23" spans="1:2" x14ac:dyDescent="0.35">
      <c r="A23" s="2">
        <v>43922</v>
      </c>
      <c r="B23" s="4">
        <v>22790.235000000001</v>
      </c>
    </row>
    <row r="24" spans="1:2" x14ac:dyDescent="0.35">
      <c r="A24" s="2">
        <v>44013</v>
      </c>
      <c r="B24" s="4">
        <v>21110.505000000001</v>
      </c>
    </row>
    <row r="25" spans="1:2" x14ac:dyDescent="0.35">
      <c r="A25" s="2">
        <v>44105</v>
      </c>
      <c r="B25" s="4">
        <v>24154.605</v>
      </c>
    </row>
    <row r="26" spans="1:2" x14ac:dyDescent="0.35">
      <c r="A26" s="2">
        <v>44197</v>
      </c>
      <c r="B26" s="4">
        <v>20460.075000000001</v>
      </c>
    </row>
    <row r="27" spans="1:2" x14ac:dyDescent="0.35">
      <c r="A27" s="2">
        <v>44287</v>
      </c>
      <c r="B27" s="4">
        <v>22160.61</v>
      </c>
    </row>
    <row r="28" spans="1:2" x14ac:dyDescent="0.35">
      <c r="A28" s="2">
        <v>44378</v>
      </c>
      <c r="B28" s="4">
        <v>21052.47</v>
      </c>
    </row>
    <row r="29" spans="1:2" x14ac:dyDescent="0.35">
      <c r="A29" s="2">
        <v>44470</v>
      </c>
      <c r="B29" s="4">
        <v>23839.244999999999</v>
      </c>
    </row>
    <row r="30" spans="1:2" x14ac:dyDescent="0.35">
      <c r="A30" s="2">
        <v>44562</v>
      </c>
      <c r="B30" s="4">
        <v>19879.724999999999</v>
      </c>
    </row>
    <row r="31" spans="1:2" x14ac:dyDescent="0.35">
      <c r="A31" s="2">
        <v>44652</v>
      </c>
      <c r="B31" s="4">
        <v>21120.36</v>
      </c>
    </row>
    <row r="32" spans="1:2" x14ac:dyDescent="0.35">
      <c r="A32" s="2">
        <v>44743</v>
      </c>
      <c r="B32" s="4">
        <v>20973.63</v>
      </c>
    </row>
    <row r="33" spans="1:5" x14ac:dyDescent="0.35">
      <c r="A33" s="2">
        <v>44835</v>
      </c>
      <c r="B33" s="4">
        <v>24683.489999999998</v>
      </c>
      <c r="C33" s="4">
        <v>24683.489999999998</v>
      </c>
      <c r="D33" s="4">
        <v>24683.489999999998</v>
      </c>
      <c r="E33" s="4">
        <v>24683.489999999998</v>
      </c>
    </row>
    <row r="34" spans="1:5" x14ac:dyDescent="0.35">
      <c r="A34" s="2">
        <v>44927</v>
      </c>
      <c r="C34" s="4">
        <f>_xlfn.FORECAST.ETS(A34,$B$2:$B$33,$A$2:$A$33,1,1)</f>
        <v>20711.097805467707</v>
      </c>
      <c r="D34" s="4">
        <f>C34-_xlfn.FORECAST.ETS.CONFINT(A34,$B$2:$B$33,$A$2:$A$33,0.95,1,1)</f>
        <v>17225.807824907024</v>
      </c>
      <c r="E34" s="4">
        <f>C34+_xlfn.FORECAST.ETS.CONFINT(A34,$B$2:$B$33,$A$2:$A$33,0.95,1,1)</f>
        <v>24196.38778602839</v>
      </c>
    </row>
    <row r="35" spans="1:5" x14ac:dyDescent="0.35">
      <c r="A35" s="2">
        <v>45017</v>
      </c>
      <c r="C35" s="4">
        <f>_xlfn.FORECAST.ETS(A35,$B$2:$B$33,$A$2:$A$33,1,1)</f>
        <v>22914.373214294221</v>
      </c>
      <c r="D35" s="4">
        <f>C35-_xlfn.FORECAST.ETS.CONFINT(A35,$B$2:$B$33,$A$2:$A$33,0.95,1,1)</f>
        <v>19014.578233499968</v>
      </c>
      <c r="E35" s="4">
        <f>C35+_xlfn.FORECAST.ETS.CONFINT(A35,$B$2:$B$33,$A$2:$A$33,0.95,1,1)</f>
        <v>26814.168195088474</v>
      </c>
    </row>
    <row r="36" spans="1:5" x14ac:dyDescent="0.35">
      <c r="A36" s="2">
        <v>45108</v>
      </c>
      <c r="C36" s="4">
        <f>_xlfn.FORECAST.ETS(A36,$B$2:$B$33,$A$2:$A$33,1,1)</f>
        <v>20180.620801203939</v>
      </c>
      <c r="D36" s="4">
        <f>C36-_xlfn.FORECAST.ETS.CONFINT(A36,$B$2:$B$33,$A$2:$A$33,0.95,1,1)</f>
        <v>15903.472709857138</v>
      </c>
      <c r="E36" s="4">
        <f>C36+_xlfn.FORECAST.ETS.CONFINT(A36,$B$2:$B$33,$A$2:$A$33,0.95,1,1)</f>
        <v>24457.768892550739</v>
      </c>
    </row>
    <row r="37" spans="1:5" x14ac:dyDescent="0.35">
      <c r="A37" s="2">
        <v>45200</v>
      </c>
      <c r="C37" s="4">
        <f>_xlfn.FORECAST.ETS(A37,$B$2:$B$33,$A$2:$A$33,1,1)</f>
        <v>22383.896210030449</v>
      </c>
      <c r="D37" s="4">
        <f>C37-_xlfn.FORECAST.ETS.CONFINT(A37,$B$2:$B$33,$A$2:$A$33,0.95,1,1)</f>
        <v>17760.089261379249</v>
      </c>
      <c r="E37" s="4">
        <f>C37+_xlfn.FORECAST.ETS.CONFINT(A37,$B$2:$B$33,$A$2:$A$33,0.95,1,1)</f>
        <v>27007.703158681648</v>
      </c>
    </row>
    <row r="38" spans="1:5" x14ac:dyDescent="0.35">
      <c r="A38" s="2">
        <v>45292</v>
      </c>
      <c r="C38" s="4">
        <f>_xlfn.FORECAST.ETS(A38,$B$2:$B$33,$A$2:$A$33,1,1)</f>
        <v>19650.143796940167</v>
      </c>
      <c r="D38" s="4">
        <f>C38-_xlfn.FORECAST.ETS.CONFINT(A38,$B$2:$B$33,$A$2:$A$33,0.95,1,1)</f>
        <v>14701.434567363143</v>
      </c>
      <c r="E38" s="4">
        <f>C38+_xlfn.FORECAST.ETS.CONFINT(A38,$B$2:$B$33,$A$2:$A$33,0.95,1,1)</f>
        <v>24598.85302651719</v>
      </c>
    </row>
    <row r="39" spans="1:5" x14ac:dyDescent="0.35">
      <c r="A39" s="2">
        <v>45383</v>
      </c>
      <c r="C39" s="4">
        <f>_xlfn.FORECAST.ETS(A39,$B$2:$B$33,$A$2:$A$33,1,1)</f>
        <v>21853.419205766681</v>
      </c>
      <c r="D39" s="4">
        <f>C39-_xlfn.FORECAST.ETS.CONFINT(A39,$B$2:$B$33,$A$2:$A$33,0.95,1,1)</f>
        <v>16599.862755188988</v>
      </c>
      <c r="E39" s="4">
        <f>C39+_xlfn.FORECAST.ETS.CONFINT(A39,$B$2:$B$33,$A$2:$A$33,0.95,1,1)</f>
        <v>27106.975656344373</v>
      </c>
    </row>
    <row r="40" spans="1:5" x14ac:dyDescent="0.35">
      <c r="A40" s="2">
        <v>45474</v>
      </c>
      <c r="C40" s="4">
        <f>_xlfn.FORECAST.ETS(A40,$B$2:$B$33,$A$2:$A$33,1,1)</f>
        <v>19119.666792676398</v>
      </c>
      <c r="D40" s="4">
        <f>C40-_xlfn.FORECAST.ETS.CONFINT(A40,$B$2:$B$33,$A$2:$A$33,0.95,1,1)</f>
        <v>13575.785270195569</v>
      </c>
      <c r="E40" s="4">
        <f>C40+_xlfn.FORECAST.ETS.CONFINT(A40,$B$2:$B$33,$A$2:$A$33,0.95,1,1)</f>
        <v>24663.548315157226</v>
      </c>
    </row>
    <row r="41" spans="1:5" x14ac:dyDescent="0.35">
      <c r="A41" s="2">
        <v>45566</v>
      </c>
      <c r="C41" s="4">
        <f>_xlfn.FORECAST.ETS(A41,$B$2:$B$33,$A$2:$A$33,1,1)</f>
        <v>21322.942201502912</v>
      </c>
      <c r="D41" s="4">
        <f>C41-_xlfn.FORECAST.ETS.CONFINT(A41,$B$2:$B$33,$A$2:$A$33,0.95,1,1)</f>
        <v>15503.200859209235</v>
      </c>
      <c r="E41" s="4">
        <f>C41+_xlfn.FORECAST.ETS.CONFINT(A41,$B$2:$B$33,$A$2:$A$33,0.95,1,1)</f>
        <v>27142.683543796589</v>
      </c>
    </row>
    <row r="42" spans="1:5" x14ac:dyDescent="0.35">
      <c r="A42" s="2">
        <v>45657</v>
      </c>
      <c r="C42" s="4">
        <f>_xlfn.FORECAST.ETS(A42,$B$2:$B$33,$A$2:$A$33,1,1)</f>
        <v>18618.904488554916</v>
      </c>
      <c r="D42" s="4">
        <f>C42-_xlfn.FORECAST.ETS.CONFINT(A42,$B$2:$B$33,$A$2:$A$33,0.95,1,1)</f>
        <v>12536.590318540933</v>
      </c>
      <c r="E42" s="4">
        <f>C42+_xlfn.FORECAST.ETS.CONFINT(A42,$B$2:$B$33,$A$2:$A$33,0.95,1,1)</f>
        <v>24701.218658568898</v>
      </c>
    </row>
  </sheetData>
  <pageMargins left="0.7" right="0.7" top="0.75" bottom="0.75" header="0.3" footer="0.3"/>
  <drawing r:id="rId1"/>
  <tableParts count="2">
    <tablePart r:id="rId2"/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C958C7-C33C-4CFE-B06B-0E530EC992FD}">
  <dimension ref="A1:H42"/>
  <sheetViews>
    <sheetView workbookViewId="0">
      <selection activeCell="D41" sqref="D41"/>
    </sheetView>
  </sheetViews>
  <sheetFormatPr defaultRowHeight="14.5" x14ac:dyDescent="0.35"/>
  <cols>
    <col min="1" max="1" width="10.08984375" bestFit="1" customWidth="1"/>
    <col min="2" max="2" width="36.54296875" customWidth="1"/>
    <col min="3" max="3" width="44.90625" customWidth="1"/>
    <col min="4" max="5" width="46.7265625" customWidth="1"/>
    <col min="7" max="7" width="9.453125" customWidth="1"/>
    <col min="8" max="8" width="7.54296875" customWidth="1"/>
  </cols>
  <sheetData>
    <row r="1" spans="1:8" x14ac:dyDescent="0.35">
      <c r="A1" t="s">
        <v>0</v>
      </c>
      <c r="B1" t="s">
        <v>2</v>
      </c>
      <c r="C1" t="s">
        <v>15</v>
      </c>
      <c r="D1" t="s">
        <v>16</v>
      </c>
      <c r="E1" t="s">
        <v>17</v>
      </c>
      <c r="G1" t="s">
        <v>6</v>
      </c>
      <c r="H1" t="s">
        <v>7</v>
      </c>
    </row>
    <row r="2" spans="1:8" x14ac:dyDescent="0.35">
      <c r="A2" s="2">
        <v>42005</v>
      </c>
      <c r="B2" s="4">
        <v>2629.6109999999999</v>
      </c>
      <c r="G2" t="s">
        <v>8</v>
      </c>
      <c r="H2" s="7">
        <f>_xlfn.FORECAST.ETS.STAT($B$2:$B$33,$A$2:$A$33,1,1,1)</f>
        <v>0.1</v>
      </c>
    </row>
    <row r="3" spans="1:8" x14ac:dyDescent="0.35">
      <c r="A3" s="2">
        <v>42095</v>
      </c>
      <c r="B3" s="4">
        <v>3423.2459999999996</v>
      </c>
      <c r="G3" t="s">
        <v>9</v>
      </c>
      <c r="H3" s="7">
        <f>_xlfn.FORECAST.ETS.STAT($B$2:$B$33,$A$2:$A$33,2,1,1)</f>
        <v>9.9000000000000005E-2</v>
      </c>
    </row>
    <row r="4" spans="1:8" x14ac:dyDescent="0.35">
      <c r="A4" s="2">
        <v>42186</v>
      </c>
      <c r="B4" s="4">
        <v>3628.4789999999998</v>
      </c>
      <c r="G4" t="s">
        <v>10</v>
      </c>
      <c r="H4" s="7">
        <f>_xlfn.FORECAST.ETS.STAT($B$2:$B$33,$A$2:$A$33,3,1,1)</f>
        <v>2.2204460492503131E-16</v>
      </c>
    </row>
    <row r="5" spans="1:8" x14ac:dyDescent="0.35">
      <c r="A5" s="2">
        <v>42278</v>
      </c>
      <c r="B5" s="4">
        <v>5314.8269999999993</v>
      </c>
      <c r="G5" t="s">
        <v>11</v>
      </c>
      <c r="H5" s="7">
        <f>_xlfn.FORECAST.ETS.STAT($B$2:$B$33,$A$2:$A$33,4,1,1)</f>
        <v>0.69328039291393873</v>
      </c>
    </row>
    <row r="6" spans="1:8" x14ac:dyDescent="0.35">
      <c r="A6" s="2">
        <v>42370</v>
      </c>
      <c r="B6" s="4">
        <v>2894.4929999999995</v>
      </c>
      <c r="G6" t="s">
        <v>12</v>
      </c>
      <c r="H6" s="7">
        <f>_xlfn.FORECAST.ETS.STAT($B$2:$B$33,$A$2:$A$33,5,1,1)</f>
        <v>0.43458279870332672</v>
      </c>
    </row>
    <row r="7" spans="1:8" x14ac:dyDescent="0.35">
      <c r="A7" s="2">
        <v>42461</v>
      </c>
      <c r="B7" s="4">
        <v>3703.2929999999997</v>
      </c>
      <c r="G7" t="s">
        <v>13</v>
      </c>
      <c r="H7" s="7">
        <f>_xlfn.FORECAST.ETS.STAT($B$2:$B$33,$A$2:$A$33,6,1,1)</f>
        <v>1049.5573849125242</v>
      </c>
    </row>
    <row r="8" spans="1:8" x14ac:dyDescent="0.35">
      <c r="A8" s="2">
        <v>42552</v>
      </c>
      <c r="B8" s="4">
        <v>3881.2289999999998</v>
      </c>
      <c r="G8" t="s">
        <v>14</v>
      </c>
      <c r="H8" s="7">
        <f>_xlfn.FORECAST.ETS.STAT($B$2:$B$33,$A$2:$A$33,7,1,1)</f>
        <v>1444.9517350142416</v>
      </c>
    </row>
    <row r="9" spans="1:8" x14ac:dyDescent="0.35">
      <c r="A9" s="2">
        <v>42644</v>
      </c>
      <c r="B9" s="4">
        <v>5550.3899999999994</v>
      </c>
    </row>
    <row r="10" spans="1:8" x14ac:dyDescent="0.35">
      <c r="A10" s="2">
        <v>42736</v>
      </c>
      <c r="B10" s="4">
        <v>3099.7259999999997</v>
      </c>
    </row>
    <row r="11" spans="1:8" x14ac:dyDescent="0.35">
      <c r="A11" s="2">
        <v>42826</v>
      </c>
      <c r="B11" s="4">
        <v>3924.7019999999998</v>
      </c>
    </row>
    <row r="12" spans="1:8" x14ac:dyDescent="0.35">
      <c r="A12" s="2">
        <v>42917</v>
      </c>
      <c r="B12" s="4">
        <v>3865.0529999999994</v>
      </c>
    </row>
    <row r="13" spans="1:8" x14ac:dyDescent="0.35">
      <c r="A13" s="2">
        <v>43009</v>
      </c>
      <c r="B13" s="4">
        <v>5897.1629999999996</v>
      </c>
    </row>
    <row r="14" spans="1:8" x14ac:dyDescent="0.35">
      <c r="A14" s="2">
        <v>43101</v>
      </c>
      <c r="B14" s="4">
        <v>3065.3519999999999</v>
      </c>
    </row>
    <row r="15" spans="1:8" x14ac:dyDescent="0.35">
      <c r="A15" s="2">
        <v>43191</v>
      </c>
      <c r="B15" s="4">
        <v>3532.4339999999997</v>
      </c>
    </row>
    <row r="16" spans="1:8" x14ac:dyDescent="0.35">
      <c r="A16" s="2">
        <v>43282</v>
      </c>
      <c r="B16" s="4">
        <v>4184.5289999999995</v>
      </c>
    </row>
    <row r="17" spans="1:2" x14ac:dyDescent="0.35">
      <c r="A17" s="2">
        <v>43374</v>
      </c>
      <c r="B17" s="4">
        <v>6284.3759999999993</v>
      </c>
    </row>
    <row r="18" spans="1:2" x14ac:dyDescent="0.35">
      <c r="A18" s="2">
        <v>43466</v>
      </c>
      <c r="B18" s="4">
        <v>2557.83</v>
      </c>
    </row>
    <row r="19" spans="1:2" x14ac:dyDescent="0.35">
      <c r="A19" s="2">
        <v>43556</v>
      </c>
      <c r="B19" s="4">
        <v>4298.7719999999999</v>
      </c>
    </row>
    <row r="20" spans="1:2" x14ac:dyDescent="0.35">
      <c r="A20" s="2">
        <v>43647</v>
      </c>
      <c r="B20" s="4">
        <v>3493.0049999999997</v>
      </c>
    </row>
    <row r="21" spans="1:2" x14ac:dyDescent="0.35">
      <c r="A21" s="2">
        <v>43739</v>
      </c>
      <c r="B21" s="4">
        <v>5574.6539999999995</v>
      </c>
    </row>
    <row r="22" spans="1:2" x14ac:dyDescent="0.35">
      <c r="A22" s="2">
        <v>43831</v>
      </c>
      <c r="B22" s="4">
        <v>2441.5649999999996</v>
      </c>
    </row>
    <row r="23" spans="1:2" x14ac:dyDescent="0.35">
      <c r="A23" s="2">
        <v>43922</v>
      </c>
      <c r="B23" s="4">
        <v>3565.7969999999996</v>
      </c>
    </row>
    <row r="24" spans="1:2" x14ac:dyDescent="0.35">
      <c r="A24" s="2">
        <v>44013</v>
      </c>
      <c r="B24" s="4">
        <v>2994.5819999999999</v>
      </c>
    </row>
    <row r="25" spans="1:2" x14ac:dyDescent="0.35">
      <c r="A25" s="2">
        <v>44105</v>
      </c>
      <c r="B25" s="4">
        <v>4509.0599999999995</v>
      </c>
    </row>
    <row r="26" spans="1:2" x14ac:dyDescent="0.35">
      <c r="A26" s="2">
        <v>44197</v>
      </c>
      <c r="B26" s="4">
        <v>2038.1759999999997</v>
      </c>
    </row>
    <row r="27" spans="1:2" x14ac:dyDescent="0.35">
      <c r="A27" s="2">
        <v>44287</v>
      </c>
      <c r="B27" s="4">
        <v>2532.5549999999998</v>
      </c>
    </row>
    <row r="28" spans="1:2" x14ac:dyDescent="0.35">
      <c r="A28" s="2">
        <v>44378</v>
      </c>
      <c r="B28" s="4">
        <v>2885.3939999999998</v>
      </c>
    </row>
    <row r="29" spans="1:2" x14ac:dyDescent="0.35">
      <c r="A29" s="2">
        <v>44470</v>
      </c>
      <c r="B29" s="4">
        <v>4555.5659999999998</v>
      </c>
    </row>
    <row r="30" spans="1:2" x14ac:dyDescent="0.35">
      <c r="A30" s="2">
        <v>44562</v>
      </c>
      <c r="B30" s="4">
        <v>1772.2829999999999</v>
      </c>
    </row>
    <row r="31" spans="1:2" x14ac:dyDescent="0.35">
      <c r="A31" s="2">
        <v>44652</v>
      </c>
      <c r="B31" s="4">
        <v>2357.6519999999996</v>
      </c>
    </row>
    <row r="32" spans="1:2" x14ac:dyDescent="0.35">
      <c r="A32" s="2">
        <v>44743</v>
      </c>
      <c r="B32" s="4">
        <v>2754.9749999999999</v>
      </c>
    </row>
    <row r="33" spans="1:5" x14ac:dyDescent="0.35">
      <c r="A33" s="2">
        <v>44835</v>
      </c>
      <c r="B33" s="4">
        <v>-1063.5719999999999</v>
      </c>
      <c r="C33" s="4">
        <v>-1063.5719999999999</v>
      </c>
      <c r="D33" s="4">
        <v>-1063.5719999999999</v>
      </c>
      <c r="E33" s="4">
        <v>-1063.5719999999999</v>
      </c>
    </row>
    <row r="34" spans="1:5" x14ac:dyDescent="0.35">
      <c r="A34" s="2">
        <v>44927</v>
      </c>
      <c r="C34" s="4">
        <f>_xlfn.FORECAST.ETS(A34,$B$2:$B$33,$A$2:$A$33,1,1)</f>
        <v>1647.0383539748057</v>
      </c>
      <c r="D34" s="4">
        <f>C34-_xlfn.FORECAST.ETS.CONFINT(A34,$B$2:$B$33,$A$2:$A$33,0.95,1,1)</f>
        <v>-943.65266589780845</v>
      </c>
      <c r="E34" s="4">
        <f>C34+_xlfn.FORECAST.ETS.CONFINT(A34,$B$2:$B$33,$A$2:$A$33,0.95,1,1)</f>
        <v>4237.72937384742</v>
      </c>
    </row>
    <row r="35" spans="1:5" x14ac:dyDescent="0.35">
      <c r="A35" s="2">
        <v>45017</v>
      </c>
      <c r="C35" s="4">
        <f>_xlfn.FORECAST.ETS(A35,$B$2:$B$33,$A$2:$A$33,1,1)</f>
        <v>1235.7066792921555</v>
      </c>
      <c r="D35" s="4">
        <f>C35-_xlfn.FORECAST.ETS.CONFINT(A35,$B$2:$B$33,$A$2:$A$33,0.95,1,1)</f>
        <v>-1405.7832787736197</v>
      </c>
      <c r="E35" s="4">
        <f>C35+_xlfn.FORECAST.ETS.CONFINT(A35,$B$2:$B$33,$A$2:$A$33,0.95,1,1)</f>
        <v>3877.1966373579307</v>
      </c>
    </row>
    <row r="36" spans="1:5" x14ac:dyDescent="0.35">
      <c r="A36" s="2">
        <v>45108</v>
      </c>
      <c r="C36" s="4">
        <f>_xlfn.FORECAST.ETS(A36,$B$2:$B$33,$A$2:$A$33,1,1)</f>
        <v>824.3750046094973</v>
      </c>
      <c r="D36" s="4">
        <f>C36-_xlfn.FORECAST.ETS.CONFINT(A36,$B$2:$B$33,$A$2:$A$33,0.95,1,1)</f>
        <v>-1927.6230378625551</v>
      </c>
      <c r="E36" s="4">
        <f>C36+_xlfn.FORECAST.ETS.CONFINT(A36,$B$2:$B$33,$A$2:$A$33,0.95,1,1)</f>
        <v>3576.3730470815499</v>
      </c>
    </row>
    <row r="37" spans="1:5" x14ac:dyDescent="0.35">
      <c r="A37" s="2">
        <v>45200</v>
      </c>
      <c r="C37" s="4">
        <f>_xlfn.FORECAST.ETS(A37,$B$2:$B$33,$A$2:$A$33,1,1)</f>
        <v>413.04332992684715</v>
      </c>
      <c r="D37" s="4">
        <f>C37-_xlfn.FORECAST.ETS.CONFINT(A37,$B$2:$B$33,$A$2:$A$33,0.95,1,1)</f>
        <v>-2524.8665381011624</v>
      </c>
      <c r="E37" s="4">
        <f>C37+_xlfn.FORECAST.ETS.CONFINT(A37,$B$2:$B$33,$A$2:$A$33,0.95,1,1)</f>
        <v>3350.9531979548565</v>
      </c>
    </row>
    <row r="38" spans="1:5" x14ac:dyDescent="0.35">
      <c r="A38" s="2">
        <v>45292</v>
      </c>
      <c r="C38" s="4">
        <f>_xlfn.FORECAST.ETS(A38,$B$2:$B$33,$A$2:$A$33,1,1)</f>
        <v>1.711655244189265</v>
      </c>
      <c r="D38" s="4">
        <f>C38-_xlfn.FORECAST.ETS.CONFINT(A38,$B$2:$B$33,$A$2:$A$33,0.95,1,1)</f>
        <v>-3204.9213218528284</v>
      </c>
      <c r="E38" s="4">
        <f>C38+_xlfn.FORECAST.ETS.CONFINT(A38,$B$2:$B$33,$A$2:$A$33,0.95,1,1)</f>
        <v>3208.3446323412072</v>
      </c>
    </row>
    <row r="39" spans="1:5" x14ac:dyDescent="0.35">
      <c r="A39" s="2">
        <v>45383</v>
      </c>
      <c r="C39" s="4">
        <f>_xlfn.FORECAST.ETS(A39,$B$2:$B$33,$A$2:$A$33,1,1)</f>
        <v>-409.62001943846133</v>
      </c>
      <c r="D39" s="4">
        <f>C39-_xlfn.FORECAST.ETS.CONFINT(A39,$B$2:$B$33,$A$2:$A$33,0.95,1,1)</f>
        <v>-3967.5123095175049</v>
      </c>
      <c r="E39" s="4">
        <f>C39+_xlfn.FORECAST.ETS.CONFINT(A39,$B$2:$B$33,$A$2:$A$33,0.95,1,1)</f>
        <v>3148.2722706405821</v>
      </c>
    </row>
    <row r="40" spans="1:5" x14ac:dyDescent="0.35">
      <c r="A40" s="2">
        <v>45474</v>
      </c>
      <c r="C40" s="4">
        <f>_xlfn.FORECAST.ETS(A40,$B$2:$B$33,$A$2:$A$33,1,1)</f>
        <v>-820.9516941211192</v>
      </c>
      <c r="D40" s="4">
        <f>C40-_xlfn.FORECAST.ETS.CONFINT(A40,$B$2:$B$33,$A$2:$A$33,0.95,1,1)</f>
        <v>-4807.326518097726</v>
      </c>
      <c r="E40" s="4">
        <f>C40+_xlfn.FORECAST.ETS.CONFINT(A40,$B$2:$B$33,$A$2:$A$33,0.95,1,1)</f>
        <v>3165.4231298554878</v>
      </c>
    </row>
    <row r="41" spans="1:5" x14ac:dyDescent="0.35">
      <c r="A41" s="2">
        <v>45566</v>
      </c>
      <c r="C41" s="4">
        <f>_xlfn.FORECAST.ETS(A41,$B$2:$B$33,$A$2:$A$33,1,1)</f>
        <v>-1232.2833688037692</v>
      </c>
      <c r="D41" s="4">
        <f>C41-_xlfn.FORECAST.ETS.CONFINT(A41,$B$2:$B$33,$A$2:$A$33,0.95,1,1)</f>
        <v>-5716.9034718540452</v>
      </c>
      <c r="E41" s="4">
        <f>C41+_xlfn.FORECAST.ETS.CONFINT(A41,$B$2:$B$33,$A$2:$A$33,0.95,1,1)</f>
        <v>3252.3367342465071</v>
      </c>
    </row>
    <row r="42" spans="1:5" x14ac:dyDescent="0.35">
      <c r="A42" s="2">
        <v>45657</v>
      </c>
      <c r="C42" s="4">
        <f>_xlfn.FORECAST.ETS(A42,$B$2:$B$33,$A$2:$A$33,1,1)</f>
        <v>-1639.1440470224857</v>
      </c>
      <c r="D42" s="4">
        <f>C42-_xlfn.FORECAST.ETS.CONFINT(A42,$B$2:$B$33,$A$2:$A$33,0.95,1,1)</f>
        <v>-6678.3913601327513</v>
      </c>
      <c r="E42" s="4">
        <f>C42+_xlfn.FORECAST.ETS.CONFINT(A42,$B$2:$B$33,$A$2:$A$33,0.95,1,1)</f>
        <v>3400.1032660877804</v>
      </c>
    </row>
  </sheetData>
  <pageMargins left="0.7" right="0.7" top="0.75" bottom="0.75" header="0.3" footer="0.3"/>
  <pageSetup orientation="portrait" r:id="rId1"/>
  <drawing r:id="rId2"/>
  <tableParts count="2">
    <tablePart r:id="rId3"/>
    <tablePart r:id="rId4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3"/>
  <sheetViews>
    <sheetView tabSelected="1" workbookViewId="0">
      <pane xSplit="1" ySplit="1" topLeftCell="B2" activePane="bottomRight" state="frozen"/>
      <selection pane="topRight"/>
      <selection pane="bottomLeft"/>
      <selection pane="bottomRight" activeCell="M13" sqref="M13"/>
    </sheetView>
  </sheetViews>
  <sheetFormatPr defaultRowHeight="14.5" x14ac:dyDescent="0.35"/>
  <cols>
    <col min="1" max="1" width="12" style="2" customWidth="1"/>
    <col min="2" max="3" width="21" customWidth="1"/>
    <col min="4" max="4" width="12" customWidth="1"/>
    <col min="5" max="5" width="34" style="4" customWidth="1"/>
  </cols>
  <sheetData>
    <row r="1" spans="1:5" ht="50.15" customHeight="1" x14ac:dyDescent="0.35">
      <c r="A1" s="6" t="s">
        <v>0</v>
      </c>
      <c r="B1" s="5" t="s">
        <v>1</v>
      </c>
      <c r="C1" s="1"/>
      <c r="D1" s="1" t="s">
        <v>0</v>
      </c>
      <c r="E1" s="5" t="s">
        <v>2</v>
      </c>
    </row>
    <row r="2" spans="1:5" x14ac:dyDescent="0.35">
      <c r="A2" s="2">
        <v>42005</v>
      </c>
      <c r="B2" s="4">
        <v>25028.415000000001</v>
      </c>
      <c r="C2" s="3"/>
      <c r="D2" s="2">
        <v>42005</v>
      </c>
      <c r="E2" s="4">
        <v>2629.6109999999999</v>
      </c>
    </row>
    <row r="3" spans="1:5" x14ac:dyDescent="0.35">
      <c r="A3" s="2">
        <v>42095</v>
      </c>
      <c r="B3" s="4">
        <v>25977.78</v>
      </c>
      <c r="C3" s="3"/>
      <c r="D3" s="2">
        <v>42095</v>
      </c>
      <c r="E3" s="4">
        <v>3423.2459999999996</v>
      </c>
    </row>
    <row r="4" spans="1:5" x14ac:dyDescent="0.35">
      <c r="A4" s="2">
        <v>42186</v>
      </c>
      <c r="B4" s="4">
        <v>26576.744999999999</v>
      </c>
      <c r="C4" s="3"/>
      <c r="D4" s="2">
        <v>42186</v>
      </c>
      <c r="E4" s="4">
        <v>3628.4789999999998</v>
      </c>
    </row>
    <row r="5" spans="1:5" x14ac:dyDescent="0.35">
      <c r="A5" s="2">
        <v>42278</v>
      </c>
      <c r="B5" s="4">
        <v>31775.805</v>
      </c>
      <c r="C5" s="3"/>
      <c r="D5" s="2">
        <v>42278</v>
      </c>
      <c r="E5" s="4">
        <v>5314.8269999999993</v>
      </c>
    </row>
    <row r="6" spans="1:5" x14ac:dyDescent="0.35">
      <c r="A6" s="2">
        <v>42370</v>
      </c>
      <c r="B6" s="4">
        <v>26944.665000000001</v>
      </c>
      <c r="C6" s="3"/>
      <c r="D6" s="2">
        <v>42370</v>
      </c>
      <c r="E6" s="4">
        <v>2894.4929999999995</v>
      </c>
    </row>
    <row r="7" spans="1:5" x14ac:dyDescent="0.35">
      <c r="A7" s="2">
        <v>42461</v>
      </c>
      <c r="B7" s="4">
        <v>29199.27</v>
      </c>
      <c r="C7" s="3"/>
      <c r="D7" s="2">
        <v>42461</v>
      </c>
      <c r="E7" s="4">
        <v>3703.2929999999997</v>
      </c>
    </row>
    <row r="8" spans="1:5" x14ac:dyDescent="0.35">
      <c r="A8" s="2">
        <v>42552</v>
      </c>
      <c r="B8" s="4">
        <v>28641.915000000001</v>
      </c>
      <c r="C8" s="3"/>
      <c r="D8" s="2">
        <v>42552</v>
      </c>
      <c r="E8" s="4">
        <v>3881.2289999999998</v>
      </c>
    </row>
    <row r="9" spans="1:5" x14ac:dyDescent="0.35">
      <c r="A9" s="2">
        <v>42644</v>
      </c>
      <c r="B9" s="4">
        <v>32287.17</v>
      </c>
      <c r="C9" s="3"/>
      <c r="D9" s="2">
        <v>42644</v>
      </c>
      <c r="E9" s="4">
        <v>5550.3899999999994</v>
      </c>
    </row>
    <row r="10" spans="1:5" x14ac:dyDescent="0.35">
      <c r="A10" s="2">
        <v>42736</v>
      </c>
      <c r="B10" s="4">
        <v>27016.934999999998</v>
      </c>
      <c r="C10" s="3"/>
      <c r="D10" s="2">
        <v>42736</v>
      </c>
      <c r="E10" s="4">
        <v>3099.7259999999997</v>
      </c>
    </row>
    <row r="11" spans="1:5" x14ac:dyDescent="0.35">
      <c r="A11" s="2">
        <v>42826</v>
      </c>
      <c r="B11" s="4">
        <v>28232.384999999998</v>
      </c>
      <c r="C11" s="3"/>
      <c r="D11" s="2">
        <v>42826</v>
      </c>
      <c r="E11" s="4">
        <v>3924.7019999999998</v>
      </c>
    </row>
    <row r="12" spans="1:5" x14ac:dyDescent="0.35">
      <c r="A12" s="2">
        <v>42917</v>
      </c>
      <c r="B12" s="4">
        <v>27097.965</v>
      </c>
      <c r="C12" s="3"/>
      <c r="D12" s="2">
        <v>42917</v>
      </c>
      <c r="E12" s="4">
        <v>3865.0529999999994</v>
      </c>
    </row>
    <row r="13" spans="1:5" x14ac:dyDescent="0.35">
      <c r="A13" s="2">
        <v>43009</v>
      </c>
      <c r="B13" s="4">
        <v>32087.88</v>
      </c>
      <c r="C13" s="3"/>
      <c r="D13" s="2">
        <v>43009</v>
      </c>
      <c r="E13" s="4">
        <v>5897.1629999999996</v>
      </c>
    </row>
    <row r="14" spans="1:5" x14ac:dyDescent="0.35">
      <c r="A14" s="2">
        <v>43101</v>
      </c>
      <c r="B14" s="4">
        <v>25631.759999999998</v>
      </c>
      <c r="C14" s="3"/>
      <c r="D14" s="2">
        <v>43101</v>
      </c>
      <c r="E14" s="4">
        <v>3065.3519999999999</v>
      </c>
    </row>
    <row r="15" spans="1:5" x14ac:dyDescent="0.35">
      <c r="A15" s="2">
        <v>43191</v>
      </c>
      <c r="B15" s="4">
        <v>26538.42</v>
      </c>
      <c r="C15" s="3"/>
      <c r="D15" s="2">
        <v>43191</v>
      </c>
      <c r="E15" s="4">
        <v>3532.4339999999997</v>
      </c>
    </row>
    <row r="16" spans="1:5" x14ac:dyDescent="0.35">
      <c r="A16" s="2">
        <v>43282</v>
      </c>
      <c r="B16" s="4">
        <v>25555.11</v>
      </c>
      <c r="C16" s="3"/>
      <c r="D16" s="2">
        <v>43282</v>
      </c>
      <c r="E16" s="4">
        <v>4184.5289999999995</v>
      </c>
    </row>
    <row r="17" spans="1:5" x14ac:dyDescent="0.35">
      <c r="A17" s="2">
        <v>43374</v>
      </c>
      <c r="B17" s="4">
        <v>29987.67</v>
      </c>
      <c r="C17" s="3"/>
      <c r="D17" s="2">
        <v>43374</v>
      </c>
      <c r="E17" s="4">
        <v>6284.3759999999993</v>
      </c>
    </row>
    <row r="18" spans="1:5" x14ac:dyDescent="0.35">
      <c r="A18" s="2">
        <v>43466</v>
      </c>
      <c r="B18" s="4">
        <v>24348.42</v>
      </c>
      <c r="C18" s="3"/>
      <c r="D18" s="2">
        <v>43466</v>
      </c>
      <c r="E18" s="4">
        <v>2557.83</v>
      </c>
    </row>
    <row r="19" spans="1:5" x14ac:dyDescent="0.35">
      <c r="A19" s="2">
        <v>43556</v>
      </c>
      <c r="B19" s="4">
        <v>26331.465</v>
      </c>
      <c r="C19" s="3"/>
      <c r="D19" s="2">
        <v>43556</v>
      </c>
      <c r="E19" s="4">
        <v>4298.7719999999999</v>
      </c>
    </row>
    <row r="20" spans="1:5" x14ac:dyDescent="0.35">
      <c r="A20" s="2">
        <v>43647</v>
      </c>
      <c r="B20" s="4">
        <v>24524.715</v>
      </c>
      <c r="C20" s="3"/>
      <c r="D20" s="2">
        <v>43647</v>
      </c>
      <c r="E20" s="4">
        <v>3493.0049999999997</v>
      </c>
    </row>
    <row r="21" spans="1:5" x14ac:dyDescent="0.35">
      <c r="A21" s="2">
        <v>43739</v>
      </c>
      <c r="B21" s="4">
        <v>26403.735000000001</v>
      </c>
      <c r="C21" s="3"/>
      <c r="D21" s="2">
        <v>43739</v>
      </c>
      <c r="E21" s="4">
        <v>5574.6539999999995</v>
      </c>
    </row>
    <row r="22" spans="1:5" x14ac:dyDescent="0.35">
      <c r="A22" s="2">
        <v>43831</v>
      </c>
      <c r="B22" s="4">
        <v>21451.05</v>
      </c>
      <c r="C22" s="3"/>
      <c r="D22" s="2">
        <v>43831</v>
      </c>
      <c r="E22" s="4">
        <v>2441.5649999999996</v>
      </c>
    </row>
    <row r="23" spans="1:5" x14ac:dyDescent="0.35">
      <c r="A23" s="2">
        <v>43922</v>
      </c>
      <c r="B23" s="4">
        <v>22790.235000000001</v>
      </c>
      <c r="C23" s="3"/>
      <c r="D23" s="2">
        <v>43922</v>
      </c>
      <c r="E23" s="4">
        <v>3565.7969999999996</v>
      </c>
    </row>
    <row r="24" spans="1:5" x14ac:dyDescent="0.35">
      <c r="A24" s="2">
        <v>44013</v>
      </c>
      <c r="B24" s="4">
        <v>21110.505000000001</v>
      </c>
      <c r="C24" s="3"/>
      <c r="D24" s="2">
        <v>44013</v>
      </c>
      <c r="E24" s="4">
        <v>2994.5819999999999</v>
      </c>
    </row>
    <row r="25" spans="1:5" x14ac:dyDescent="0.35">
      <c r="A25" s="2">
        <v>44105</v>
      </c>
      <c r="B25" s="4">
        <v>24154.605</v>
      </c>
      <c r="C25" s="3"/>
      <c r="D25" s="2">
        <v>44105</v>
      </c>
      <c r="E25" s="4">
        <v>4509.0599999999995</v>
      </c>
    </row>
    <row r="26" spans="1:5" x14ac:dyDescent="0.35">
      <c r="A26" s="2">
        <v>44197</v>
      </c>
      <c r="B26" s="4">
        <v>20460.075000000001</v>
      </c>
      <c r="C26" s="3"/>
      <c r="D26" s="2">
        <v>44197</v>
      </c>
      <c r="E26" s="4">
        <v>2038.1759999999997</v>
      </c>
    </row>
    <row r="27" spans="1:5" x14ac:dyDescent="0.35">
      <c r="A27" s="2">
        <v>44287</v>
      </c>
      <c r="B27" s="4">
        <v>22160.61</v>
      </c>
      <c r="C27" s="3"/>
      <c r="D27" s="2">
        <v>44287</v>
      </c>
      <c r="E27" s="4">
        <v>2532.5549999999998</v>
      </c>
    </row>
    <row r="28" spans="1:5" x14ac:dyDescent="0.35">
      <c r="A28" s="2">
        <v>44378</v>
      </c>
      <c r="B28" s="4">
        <v>21052.47</v>
      </c>
      <c r="C28" s="3"/>
      <c r="D28" s="2">
        <v>44378</v>
      </c>
      <c r="E28" s="4">
        <v>2885.3939999999998</v>
      </c>
    </row>
    <row r="29" spans="1:5" x14ac:dyDescent="0.35">
      <c r="A29" s="2">
        <v>44470</v>
      </c>
      <c r="B29" s="4">
        <v>23839.244999999999</v>
      </c>
      <c r="C29" s="3"/>
      <c r="D29" s="2">
        <v>44470</v>
      </c>
      <c r="E29" s="4">
        <v>4555.5659999999998</v>
      </c>
    </row>
    <row r="30" spans="1:5" x14ac:dyDescent="0.35">
      <c r="A30" s="2">
        <v>44562</v>
      </c>
      <c r="B30" s="4">
        <v>19879.724999999999</v>
      </c>
      <c r="C30" s="3"/>
      <c r="D30" s="2">
        <v>44562</v>
      </c>
      <c r="E30" s="4">
        <v>1772.2829999999999</v>
      </c>
    </row>
    <row r="31" spans="1:5" x14ac:dyDescent="0.35">
      <c r="A31" s="2">
        <v>44652</v>
      </c>
      <c r="B31" s="4">
        <v>21120.36</v>
      </c>
      <c r="C31" s="3"/>
      <c r="D31" s="2">
        <v>44652</v>
      </c>
      <c r="E31" s="4">
        <v>2357.6519999999996</v>
      </c>
    </row>
    <row r="32" spans="1:5" x14ac:dyDescent="0.35">
      <c r="A32" s="2">
        <v>44743</v>
      </c>
      <c r="B32" s="4">
        <v>20973.63</v>
      </c>
      <c r="C32" s="3"/>
      <c r="D32" s="2">
        <v>44743</v>
      </c>
      <c r="E32" s="4">
        <v>2754.9749999999999</v>
      </c>
    </row>
    <row r="33" spans="1:5" x14ac:dyDescent="0.35">
      <c r="A33" s="2">
        <v>44835</v>
      </c>
      <c r="B33" s="4">
        <v>24683.489999999998</v>
      </c>
      <c r="C33" s="3"/>
      <c r="D33" s="2">
        <v>44835</v>
      </c>
      <c r="E33" s="4">
        <v>-1063.5719999999999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2343ed19-8a93-4788-96ed-edb304ede95a">
      <Terms xmlns="http://schemas.microsoft.com/office/infopath/2007/PartnerControls"/>
    </lcf76f155ced4ddcb4097134ff3c332f>
    <TaxCatchAll xmlns="91ab924b-58b3-436d-bb0d-cd35bb1cdd5e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1A4EFF880BA234F9740311115ACF210" ma:contentTypeVersion="15" ma:contentTypeDescription="Create a new document." ma:contentTypeScope="" ma:versionID="e311bb3b41077207d38cf6e77f86d837">
  <xsd:schema xmlns:xsd="http://www.w3.org/2001/XMLSchema" xmlns:xs="http://www.w3.org/2001/XMLSchema" xmlns:p="http://schemas.microsoft.com/office/2006/metadata/properties" xmlns:ns2="91ab924b-58b3-436d-bb0d-cd35bb1cdd5e" xmlns:ns3="2343ed19-8a93-4788-96ed-edb304ede95a" targetNamespace="http://schemas.microsoft.com/office/2006/metadata/properties" ma:root="true" ma:fieldsID="b2aab87beb53bfe760bc8ef585e78a7f" ns2:_="" ns3:_="">
    <xsd:import namespace="91ab924b-58b3-436d-bb0d-cd35bb1cdd5e"/>
    <xsd:import namespace="2343ed19-8a93-4788-96ed-edb304ede95a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Location" minOccurs="0"/>
                <xsd:element ref="ns3:lcf76f155ced4ddcb4097134ff3c332f" minOccurs="0"/>
                <xsd:element ref="ns2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1ab924b-58b3-436d-bb0d-cd35bb1cdd5e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9f34b32d-85c7-4345-8769-16b1bd29a990}" ma:internalName="TaxCatchAll" ma:showField="CatchAllData" ma:web="91ab924b-58b3-436d-bb0d-cd35bb1cdd5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343ed19-8a93-4788-96ed-edb304ede95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db8617a1-beef-4e24-867f-51551f54cfe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2F27DDB-35B0-45D3-B340-46C56019D6C9}">
  <ds:schemaRefs>
    <ds:schemaRef ds:uri="91ab924b-58b3-436d-bb0d-cd35bb1cdd5e"/>
    <ds:schemaRef ds:uri="http://schemas.microsoft.com/office/2006/documentManagement/types"/>
    <ds:schemaRef ds:uri="http://schemas.microsoft.com/office/infopath/2007/PartnerControls"/>
    <ds:schemaRef ds:uri="2343ed19-8a93-4788-96ed-edb304ede95a"/>
    <ds:schemaRef ds:uri="http://purl.org/dc/elements/1.1/"/>
    <ds:schemaRef ds:uri="http://schemas.microsoft.com/office/2006/metadata/properties"/>
    <ds:schemaRef ds:uri="http://purl.org/dc/terms/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D6B56C5A-3AE5-4ADF-847D-2231CF3CC78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493E12F-ECF9-4EC3-AB2A-65118F359AC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1ab924b-58b3-436d-bb0d-cd35bb1cdd5e"/>
    <ds:schemaRef ds:uri="2343ed19-8a93-4788-96ed-edb304ede95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 sales forecast</vt:lpstr>
      <vt:lpstr> Income forecast</vt:lpstr>
      <vt:lpstr>Sony Data</vt:lpstr>
      <vt:lpstr>'Sony Data'!_FilterDatabase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Yuffie Ji</cp:lastModifiedBy>
  <dcterms:created xsi:type="dcterms:W3CDTF">2019-02-22T21:39:18Z</dcterms:created>
  <dcterms:modified xsi:type="dcterms:W3CDTF">2026-03-19T01:21:02Z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0x01010011A4EFF880BA234F9740311115ACF210</vt:lpwstr>
  </property>
</Properties>
</file>