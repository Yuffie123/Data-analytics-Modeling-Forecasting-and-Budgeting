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hengjun/Desktop/"/>
    </mc:Choice>
  </mc:AlternateContent>
  <xr:revisionPtr revIDLastSave="0" documentId="8_{54EAA0E1-7584-624F-9D96-BFE50772D95D}" xr6:coauthVersionLast="47" xr6:coauthVersionMax="47" xr10:uidLastSave="{00000000-0000-0000-0000-000000000000}"/>
  <bookViews>
    <workbookView xWindow="0" yWindow="660" windowWidth="30240" windowHeight="18980" firstSheet="6" activeTab="15" xr2:uid="{00000000-000D-0000-FFFF-FFFF00000000}"/>
  </bookViews>
  <sheets>
    <sheet name="Sales Forecast" sheetId="1" r:id="rId1"/>
    <sheet name="Production Budget Calc" sheetId="2" state="hidden" r:id="rId2"/>
    <sheet name="Production Budget" sheetId="3" r:id="rId3"/>
    <sheet name="Beginning Inventories Budget" sheetId="23" r:id="rId4"/>
    <sheet name="BOM" sheetId="4" r:id="rId5"/>
    <sheet name="Direct Materials Budget - Arch" sheetId="5" r:id="rId6"/>
    <sheet name="Direct MaterialsBudget - All" sheetId="24" r:id="rId7"/>
    <sheet name="Route Sheet &amp; Labor Cost- Arch" sheetId="6" r:id="rId8"/>
    <sheet name="Labor Cost- All" sheetId="25" r:id="rId9"/>
    <sheet name="Overhead" sheetId="17" r:id="rId10"/>
    <sheet name="Ending Inventories Budget" sheetId="22" r:id="rId11"/>
    <sheet name="COGS Budget" sheetId="7" r:id="rId12"/>
    <sheet name="Non-Manufacturing Costs" sheetId="18" r:id="rId13"/>
    <sheet name="Flexible Budget" sheetId="9" state="hidden" r:id="rId14"/>
    <sheet name="Scenario Summary" sheetId="21" state="hidden" r:id="rId15"/>
    <sheet name="Pro Forma Income Statement" sheetId="8" r:id="rId16"/>
    <sheet name="Pro Forma Operating Income Stmt" sheetId="10" state="hidden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5" l="1"/>
  <c r="D20" i="24"/>
  <c r="C20" i="24"/>
  <c r="C8" i="8"/>
  <c r="F5" i="18"/>
  <c r="C9" i="8" s="1"/>
  <c r="F6" i="18"/>
  <c r="C10" i="8" s="1"/>
  <c r="F4" i="18"/>
  <c r="C5" i="18"/>
  <c r="C6" i="18"/>
  <c r="C4" i="18"/>
  <c r="D9" i="22"/>
  <c r="G9" i="22" s="1"/>
  <c r="E5" i="23"/>
  <c r="E5" i="22" s="1"/>
  <c r="E6" i="23"/>
  <c r="E6" i="22" s="1"/>
  <c r="E7" i="23"/>
  <c r="E7" i="22" s="1"/>
  <c r="E8" i="23"/>
  <c r="E8" i="22" s="1"/>
  <c r="D5" i="23"/>
  <c r="D5" i="22" s="1"/>
  <c r="D6" i="23"/>
  <c r="D6" i="22" s="1"/>
  <c r="D7" i="23"/>
  <c r="D7" i="22" s="1"/>
  <c r="D8" i="23"/>
  <c r="D8" i="22" s="1"/>
  <c r="E5" i="17"/>
  <c r="E6" i="17"/>
  <c r="E7" i="17"/>
  <c r="E8" i="17"/>
  <c r="E4" i="17"/>
  <c r="H4" i="6"/>
  <c r="H5" i="6"/>
  <c r="H6" i="6"/>
  <c r="F5" i="6"/>
  <c r="F6" i="6"/>
  <c r="F7" i="6" s="1"/>
  <c r="F4" i="6"/>
  <c r="D11" i="24"/>
  <c r="D10" i="24"/>
  <c r="E10" i="24"/>
  <c r="E11" i="24" s="1"/>
  <c r="F10" i="24"/>
  <c r="F11" i="24" s="1"/>
  <c r="G10" i="24"/>
  <c r="G11" i="24" s="1"/>
  <c r="C10" i="24"/>
  <c r="D6" i="24"/>
  <c r="D5" i="24"/>
  <c r="E5" i="24"/>
  <c r="E6" i="24" s="1"/>
  <c r="F5" i="24"/>
  <c r="F6" i="24" s="1"/>
  <c r="G5" i="24"/>
  <c r="G6" i="24" s="1"/>
  <c r="C5" i="24"/>
  <c r="H8" i="5"/>
  <c r="F5" i="5"/>
  <c r="F6" i="5"/>
  <c r="F7" i="5"/>
  <c r="F8" i="5"/>
  <c r="F4" i="5"/>
  <c r="D5" i="5"/>
  <c r="D6" i="5"/>
  <c r="E6" i="5"/>
  <c r="H6" i="5" s="1"/>
  <c r="D7" i="5"/>
  <c r="D8" i="5"/>
  <c r="E8" i="5"/>
  <c r="D4" i="5"/>
  <c r="C5" i="5"/>
  <c r="C6" i="5"/>
  <c r="C7" i="5"/>
  <c r="C8" i="5"/>
  <c r="C4" i="5"/>
  <c r="F5" i="4"/>
  <c r="E5" i="5" s="1"/>
  <c r="H5" i="5" s="1"/>
  <c r="F6" i="4"/>
  <c r="F7" i="4"/>
  <c r="E7" i="5" s="1"/>
  <c r="H7" i="5" s="1"/>
  <c r="F8" i="4"/>
  <c r="F4" i="4"/>
  <c r="E4" i="5" s="1"/>
  <c r="F8" i="3"/>
  <c r="C7" i="17" s="1"/>
  <c r="G7" i="17" s="1"/>
  <c r="F7" i="23" s="1"/>
  <c r="C8" i="3"/>
  <c r="C4" i="17" s="1"/>
  <c r="G4" i="17" s="1"/>
  <c r="D7" i="3"/>
  <c r="E7" i="3"/>
  <c r="F7" i="3"/>
  <c r="G7" i="3"/>
  <c r="C7" i="3"/>
  <c r="F6" i="3"/>
  <c r="C6" i="3"/>
  <c r="D5" i="3"/>
  <c r="D8" i="24" s="1"/>
  <c r="D9" i="24" s="1"/>
  <c r="D13" i="24" s="1"/>
  <c r="F5" i="3"/>
  <c r="C7" i="22" s="1"/>
  <c r="C5" i="3"/>
  <c r="C4" i="22" s="1"/>
  <c r="C4" i="3"/>
  <c r="D4" i="3"/>
  <c r="D6" i="3" s="1"/>
  <c r="D8" i="3" s="1"/>
  <c r="E4" i="3"/>
  <c r="E5" i="3" s="1"/>
  <c r="F4" i="3"/>
  <c r="G4" i="3"/>
  <c r="G5" i="3" s="1"/>
  <c r="E10" i="1"/>
  <c r="C4" i="8" s="1"/>
  <c r="E5" i="1"/>
  <c r="E6" i="1"/>
  <c r="E7" i="1"/>
  <c r="E8" i="1"/>
  <c r="E4" i="1"/>
  <c r="F4" i="23" l="1"/>
  <c r="H7" i="6"/>
  <c r="B5" i="25"/>
  <c r="E4" i="23" s="1"/>
  <c r="E4" i="22" s="1"/>
  <c r="G7" i="22"/>
  <c r="H7" i="22" s="1"/>
  <c r="C8" i="22"/>
  <c r="G8" i="24"/>
  <c r="G9" i="24" s="1"/>
  <c r="G13" i="24" s="1"/>
  <c r="C6" i="22"/>
  <c r="E8" i="24"/>
  <c r="E9" i="24" s="1"/>
  <c r="E13" i="24" s="1"/>
  <c r="C5" i="17"/>
  <c r="G5" i="17" s="1"/>
  <c r="F5" i="23" s="1"/>
  <c r="C4" i="25"/>
  <c r="C6" i="25" s="1"/>
  <c r="F7" i="22"/>
  <c r="G7" i="23"/>
  <c r="H7" i="23" s="1"/>
  <c r="H4" i="5"/>
  <c r="H9" i="5" s="1"/>
  <c r="E9" i="5"/>
  <c r="G6" i="3"/>
  <c r="G8" i="3" s="1"/>
  <c r="C8" i="24"/>
  <c r="C5" i="22"/>
  <c r="E6" i="3"/>
  <c r="E8" i="3" s="1"/>
  <c r="F7" i="18"/>
  <c r="F8" i="24"/>
  <c r="F9" i="24" s="1"/>
  <c r="F13" i="24" s="1"/>
  <c r="B4" i="25"/>
  <c r="B6" i="25" s="1"/>
  <c r="E4" i="25"/>
  <c r="E6" i="25" s="1"/>
  <c r="D7" i="6"/>
  <c r="E16" i="9"/>
  <c r="F16" i="9"/>
  <c r="G16" i="9"/>
  <c r="H16" i="9"/>
  <c r="D16" i="9"/>
  <c r="F11" i="9"/>
  <c r="D11" i="9"/>
  <c r="D12" i="9" s="1"/>
  <c r="D17" i="9" s="1"/>
  <c r="D10" i="9"/>
  <c r="D9" i="9"/>
  <c r="G8" i="9"/>
  <c r="D8" i="9"/>
  <c r="D7" i="9"/>
  <c r="D5" i="9"/>
  <c r="F4" i="9"/>
  <c r="F5" i="9" s="1"/>
  <c r="G4" i="9"/>
  <c r="G11" i="9" s="1"/>
  <c r="H4" i="9"/>
  <c r="H8" i="9" s="1"/>
  <c r="E4" i="9"/>
  <c r="E9" i="9" s="1"/>
  <c r="C4" i="24" l="1"/>
  <c r="H12" i="5"/>
  <c r="H11" i="5"/>
  <c r="H14" i="5"/>
  <c r="C6" i="17"/>
  <c r="G6" i="17" s="1"/>
  <c r="F6" i="23" s="1"/>
  <c r="D4" i="25"/>
  <c r="D6" i="25" s="1"/>
  <c r="C6" i="7" s="1"/>
  <c r="F4" i="22"/>
  <c r="G5" i="23"/>
  <c r="H5" i="23" s="1"/>
  <c r="F5" i="22"/>
  <c r="G5" i="22" s="1"/>
  <c r="H5" i="22" s="1"/>
  <c r="C9" i="24"/>
  <c r="F12" i="9"/>
  <c r="F17" i="9" s="1"/>
  <c r="C8" i="17"/>
  <c r="G8" i="17" s="1"/>
  <c r="F8" i="23" s="1"/>
  <c r="F4" i="25"/>
  <c r="F6" i="25" s="1"/>
  <c r="E5" i="9"/>
  <c r="E12" i="9" s="1"/>
  <c r="E17" i="9" s="1"/>
  <c r="E8" i="9"/>
  <c r="G7" i="9"/>
  <c r="F10" i="9"/>
  <c r="F7" i="9"/>
  <c r="H9" i="9"/>
  <c r="E10" i="9"/>
  <c r="E7" i="9"/>
  <c r="G9" i="9"/>
  <c r="G5" i="9"/>
  <c r="G12" i="9" s="1"/>
  <c r="G17" i="9" s="1"/>
  <c r="F9" i="9"/>
  <c r="H11" i="9"/>
  <c r="F8" i="9"/>
  <c r="H10" i="9"/>
  <c r="E11" i="9"/>
  <c r="H7" i="9"/>
  <c r="G10" i="9"/>
  <c r="H5" i="9"/>
  <c r="E25" i="21"/>
  <c r="E23" i="21"/>
  <c r="G6" i="23" l="1"/>
  <c r="H6" i="23" s="1"/>
  <c r="F6" i="22"/>
  <c r="G6" i="22" s="1"/>
  <c r="H6" i="22" s="1"/>
  <c r="G8" i="23"/>
  <c r="H8" i="23" s="1"/>
  <c r="F8" i="22"/>
  <c r="G8" i="22" s="1"/>
  <c r="H8" i="22" s="1"/>
  <c r="G9" i="17"/>
  <c r="C6" i="24"/>
  <c r="C13" i="24" s="1"/>
  <c r="C5" i="7" s="1"/>
  <c r="D4" i="23"/>
  <c r="C11" i="24"/>
  <c r="H12" i="9"/>
  <c r="H17" i="9" s="1"/>
  <c r="D4" i="22" l="1"/>
  <c r="G4" i="22" s="1"/>
  <c r="H4" i="22" s="1"/>
  <c r="H9" i="22" s="1"/>
  <c r="D10" i="7" s="1"/>
  <c r="G4" i="23"/>
  <c r="H4" i="23" s="1"/>
  <c r="H9" i="23" s="1"/>
  <c r="D4" i="7" s="1"/>
  <c r="G9" i="10"/>
  <c r="C7" i="7"/>
  <c r="D8" i="7" s="1"/>
  <c r="D9" i="7" l="1"/>
  <c r="D11" i="7" s="1"/>
  <c r="C6" i="8" s="1"/>
  <c r="C11" i="8" s="1"/>
</calcChain>
</file>

<file path=xl/sharedStrings.xml><?xml version="1.0" encoding="utf-8"?>
<sst xmlns="http://schemas.openxmlformats.org/spreadsheetml/2006/main" count="216" uniqueCount="157">
  <si>
    <t xml:space="preserve">Pine - Arch </t>
  </si>
  <si>
    <t>Pine - Cathedral</t>
  </si>
  <si>
    <t>Pine - Shaker</t>
  </si>
  <si>
    <t>Pine - Slab</t>
  </si>
  <si>
    <t>Pine - Beadboard</t>
  </si>
  <si>
    <t>Door Style</t>
  </si>
  <si>
    <t>Expected Sales</t>
  </si>
  <si>
    <t>Total</t>
  </si>
  <si>
    <t>Selling Price</t>
  </si>
  <si>
    <t>Expected Revenue</t>
  </si>
  <si>
    <t>Heartwood Sales Forecast</t>
  </si>
  <si>
    <t>Budget Production 
(in units)</t>
  </si>
  <si>
    <t>=</t>
  </si>
  <si>
    <t>Budget Sales
(in units)</t>
  </si>
  <si>
    <t>+</t>
  </si>
  <si>
    <t>-</t>
  </si>
  <si>
    <t>Target ending finished goods inventory
(in units)</t>
  </si>
  <si>
    <t>Beginning finished goods inventory 
(in units)</t>
  </si>
  <si>
    <t>Budgeted Sales</t>
  </si>
  <si>
    <t>Total Required Units</t>
  </si>
  <si>
    <t>Units to be Produced</t>
  </si>
  <si>
    <t>(less) Beginning finished goods inventory</t>
  </si>
  <si>
    <t>Heartwood Production Budget (in units)</t>
  </si>
  <si>
    <t>Part Number</t>
  </si>
  <si>
    <t>Part Name</t>
  </si>
  <si>
    <t>Quantity</t>
  </si>
  <si>
    <t>Required Input</t>
  </si>
  <si>
    <t>Total Cost</t>
  </si>
  <si>
    <t>Total Direct Materials Required</t>
  </si>
  <si>
    <t>Work Station</t>
  </si>
  <si>
    <t>Activity</t>
  </si>
  <si>
    <t>Hourly Wage Rate</t>
  </si>
  <si>
    <t>Minutes Required
(for 1 unit)</t>
  </si>
  <si>
    <t>Units to Produce</t>
  </si>
  <si>
    <t>Labor Cost per Unit</t>
  </si>
  <si>
    <t>Total Labor Cost</t>
  </si>
  <si>
    <t>Beginning Finished Goods Inventory</t>
  </si>
  <si>
    <t>Direct Materials Used</t>
  </si>
  <si>
    <t>Direct Manufacturing Overhead</t>
  </si>
  <si>
    <t>Cost of Goods Manufactured</t>
  </si>
  <si>
    <t>Costs of Goods Available for Sale</t>
  </si>
  <si>
    <t>(Less) Ending Finished Goods Inventory</t>
  </si>
  <si>
    <t>Cost of Goods Sold</t>
  </si>
  <si>
    <t>Direct Manufacturing Labor</t>
  </si>
  <si>
    <t xml:space="preserve">Heartwood Pro Forma Operating Income Statement
</t>
  </si>
  <si>
    <t>Revenue</t>
  </si>
  <si>
    <t>Gross Margin</t>
  </si>
  <si>
    <t>Operating Costs</t>
  </si>
  <si>
    <t>Marketing Costs</t>
  </si>
  <si>
    <t>Distribution Costs</t>
  </si>
  <si>
    <t>Operating Income</t>
  </si>
  <si>
    <t>Units Sold</t>
  </si>
  <si>
    <t>Sales Price</t>
  </si>
  <si>
    <t>Direct Materials Cost</t>
  </si>
  <si>
    <t>Scenario Summary</t>
  </si>
  <si>
    <t>Changing Cells:</t>
  </si>
  <si>
    <t>Current Values:</t>
  </si>
  <si>
    <t>Notes:  Current Values column represents values of changing cells at</t>
  </si>
  <si>
    <t>time Scenario Summary Report was created.  Changing cells for each</t>
  </si>
  <si>
    <t>scenario are highlighted in gray.</t>
  </si>
  <si>
    <t>Budgeted Operating Income</t>
  </si>
  <si>
    <t>$B$4</t>
  </si>
  <si>
    <t>$D$4</t>
  </si>
  <si>
    <t>Result Cells:</t>
  </si>
  <si>
    <t>Direct Labor Cost</t>
  </si>
  <si>
    <t>$B$5</t>
  </si>
  <si>
    <t>$B$6</t>
  </si>
  <si>
    <t>$B$7</t>
  </si>
  <si>
    <t>$B$8</t>
  </si>
  <si>
    <t>$F$9</t>
  </si>
  <si>
    <t>Scenario 1 - 10% Sales Decrease</t>
  </si>
  <si>
    <t>Created by Heartwood Management Accountants</t>
  </si>
  <si>
    <t>$D$5</t>
  </si>
  <si>
    <t>$D$6</t>
  </si>
  <si>
    <t>$D$7</t>
  </si>
  <si>
    <t>$D$8</t>
  </si>
  <si>
    <t>Scenario 2 - Direct Materials 1% Discount</t>
  </si>
  <si>
    <t>Static Budget</t>
  </si>
  <si>
    <t>-20%</t>
  </si>
  <si>
    <t>-10%</t>
  </si>
  <si>
    <t>+10%</t>
  </si>
  <si>
    <t>+20%</t>
  </si>
  <si>
    <t xml:space="preserve">  Direct Material</t>
  </si>
  <si>
    <t xml:space="preserve">  Direct Labor</t>
  </si>
  <si>
    <t xml:space="preserve">Champion
Budget - Game Day Hoodies 
</t>
  </si>
  <si>
    <t>Cost Per Unit</t>
  </si>
  <si>
    <t xml:space="preserve">Target Ending Inventory </t>
  </si>
  <si>
    <t>Heartwood Direct Labor Budget</t>
  </si>
  <si>
    <t>Direct Labor Minutes Required  for 1 unit</t>
  </si>
  <si>
    <t>Predetermined Overhead Rate</t>
  </si>
  <si>
    <t>Manufacturing Overhead</t>
  </si>
  <si>
    <t xml:space="preserve">Direct Labor Hours Required for 1 unit </t>
  </si>
  <si>
    <t>Total Manufacturing Overhead</t>
  </si>
  <si>
    <t xml:space="preserve">Heartwood Manufacturing Overhead
</t>
  </si>
  <si>
    <t xml:space="preserve">Heartwood Cost of Goods Sold Budget
</t>
  </si>
  <si>
    <t>Product Development</t>
  </si>
  <si>
    <t>Marketing</t>
  </si>
  <si>
    <t>Distribution</t>
  </si>
  <si>
    <t>Variable</t>
  </si>
  <si>
    <t>Fixed</t>
  </si>
  <si>
    <t>Total Operating Costs</t>
  </si>
  <si>
    <t xml:space="preserve">Heartwood Operating Costs Budget
</t>
  </si>
  <si>
    <t>Production Development</t>
  </si>
  <si>
    <t>Ending Inventory</t>
  </si>
  <si>
    <t xml:space="preserve">Heartwood Ending Inventories Budget
</t>
  </si>
  <si>
    <t>Direct Labor Cost Per Unit</t>
  </si>
  <si>
    <t>Manufacturing Overhead Cost per Unit</t>
  </si>
  <si>
    <t>Total Cost Per Unit of Output</t>
  </si>
  <si>
    <t>Total Cost of Ending Finished Goods Inventory</t>
  </si>
  <si>
    <t>Direct Materials to be used this Period</t>
  </si>
  <si>
    <t>Per Unit</t>
  </si>
  <si>
    <t xml:space="preserve">  Fixed Manufacturing Overhead</t>
  </si>
  <si>
    <t xml:space="preserve">  Fixed SG&amp;A Costs</t>
  </si>
  <si>
    <t>Variable Costs</t>
  </si>
  <si>
    <t xml:space="preserve">  Variable Manufacturing Overhead</t>
  </si>
  <si>
    <t xml:space="preserve">  Variable SG&amp;A Costs</t>
  </si>
  <si>
    <t xml:space="preserve">    Total variable Costs</t>
  </si>
  <si>
    <t>Contribution Margin</t>
  </si>
  <si>
    <t>Fixed Costs</t>
  </si>
  <si>
    <t xml:space="preserve">    Total Fixed Costs</t>
  </si>
  <si>
    <t>(Plus) Target Ending Finished Goods Inventory</t>
  </si>
  <si>
    <t xml:space="preserve">Heartwood Beginning Inventories Budget
</t>
  </si>
  <si>
    <t>Beginning Inventory</t>
  </si>
  <si>
    <t>Total Cost of Beginning Finished Goods Inventory</t>
  </si>
  <si>
    <t xml:space="preserve">Walnut - Arch </t>
  </si>
  <si>
    <t>Walnut - Cathedral</t>
  </si>
  <si>
    <t>Walnut - Shaker</t>
  </si>
  <si>
    <t>Walnut - Slab</t>
  </si>
  <si>
    <t>Walnut - Beadboard</t>
  </si>
  <si>
    <t xml:space="preserve">Heartwood Direct Materials Budget
Walnut - Arch
</t>
  </si>
  <si>
    <t xml:space="preserve">Heartwood Direct Manufacturing Labor Costs Budget
Walnut - Arch
</t>
  </si>
  <si>
    <t>Heartwood Bill of Materials
Walnut - Arch</t>
  </si>
  <si>
    <t>P27-1244</t>
  </si>
  <si>
    <t>Panel</t>
  </si>
  <si>
    <t>H14-7589</t>
  </si>
  <si>
    <t>Handle</t>
  </si>
  <si>
    <t>H99-3622</t>
  </si>
  <si>
    <t>Hinges</t>
  </si>
  <si>
    <t>L80-5429</t>
  </si>
  <si>
    <t>Lever</t>
  </si>
  <si>
    <t>L12-9014</t>
  </si>
  <si>
    <t>Latch</t>
  </si>
  <si>
    <t>Trim &amp; Sand Door</t>
  </si>
  <si>
    <t>Attach handle</t>
  </si>
  <si>
    <t>Attach lever and Hinges</t>
  </si>
  <si>
    <t>Cost per Part</t>
  </si>
  <si>
    <t>Cost per Cabinet</t>
  </si>
  <si>
    <t>Total Cost for 1 Cabinet</t>
  </si>
  <si>
    <t>Heartwood Direct Materials Budget
Walnut - All</t>
  </si>
  <si>
    <t>Beginning  Inventory</t>
  </si>
  <si>
    <t>(Less) Materials Cost for Beginning Inventory</t>
  </si>
  <si>
    <t>(Plus) Materials Cost for Target Ending Inventory (Ending Inventory Units X Total Direct Materials Required)</t>
  </si>
  <si>
    <t>(Less) Materials Cost for Beginning Inventory  (Beg. Finished Goods Inventory X Total Direct Materials Required)</t>
  </si>
  <si>
    <t>(Plus) Materials Cost for Target Ending Inventory</t>
  </si>
  <si>
    <t>Total Ending Inventory Cost</t>
  </si>
  <si>
    <t xml:space="preserve"> </t>
  </si>
  <si>
    <t>Direct Materials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</si>
</sst>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"/>
    <numFmt numFmtId="167" formatCode="_(* #,##0.0_);_(* \(#,##0.0\);_(* &quot;-&quot;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3D3935"/>
      <name val="Inherit"/>
    </font>
    <font>
      <sz val="20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EA79E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64"/>
      </top>
      <bottom style="double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auto="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medium">
        <color auto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double">
        <color indexed="64"/>
      </bottom>
      <diagonal/>
    </border>
    <border>
      <left/>
      <right style="medium">
        <color auto="1"/>
      </right>
      <top style="thin">
        <color theme="0" tint="-0.249977111117893"/>
      </top>
      <bottom style="thin">
        <color indexed="64"/>
      </bottom>
      <diagonal/>
    </border>
    <border>
      <left style="medium">
        <color auto="1"/>
      </left>
      <right style="thin">
        <color theme="0" tint="-0.249977111117893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 style="medium">
        <color indexed="64"/>
      </top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auto="1"/>
      </bottom>
      <diagonal/>
    </border>
    <border>
      <left style="thin">
        <color theme="0" tint="-0.249977111117893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thin">
        <color theme="0" tint="-0.14999847407452621"/>
      </left>
      <right style="medium">
        <color auto="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medium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horizontal="center"/>
    </xf>
    <xf numFmtId="44" fontId="0" fillId="0" borderId="0" xfId="2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2" fillId="0" borderId="7" xfId="0" applyFont="1" applyBorder="1"/>
    <xf numFmtId="0" fontId="0" fillId="0" borderId="9" xfId="0" applyBorder="1"/>
    <xf numFmtId="0" fontId="2" fillId="0" borderId="13" xfId="0" applyFont="1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3" xfId="0" applyBorder="1"/>
    <xf numFmtId="44" fontId="0" fillId="0" borderId="3" xfId="2" applyFont="1" applyBorder="1"/>
    <xf numFmtId="44" fontId="0" fillId="0" borderId="0" xfId="0" applyNumberFormat="1"/>
    <xf numFmtId="44" fontId="0" fillId="0" borderId="3" xfId="0" applyNumberFormat="1" applyBorder="1"/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/>
    <xf numFmtId="44" fontId="0" fillId="0" borderId="0" xfId="2" applyFont="1" applyBorder="1"/>
    <xf numFmtId="0" fontId="0" fillId="0" borderId="14" xfId="0" applyBorder="1"/>
    <xf numFmtId="44" fontId="0" fillId="0" borderId="14" xfId="2" applyFont="1" applyBorder="1"/>
    <xf numFmtId="0" fontId="0" fillId="0" borderId="3" xfId="0" applyBorder="1" applyAlignment="1">
      <alignment horizontal="center"/>
    </xf>
    <xf numFmtId="44" fontId="0" fillId="0" borderId="3" xfId="0" applyNumberFormat="1" applyBorder="1" applyAlignment="1">
      <alignment horizontal="center"/>
    </xf>
    <xf numFmtId="0" fontId="5" fillId="3" borderId="15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44" fontId="0" fillId="5" borderId="0" xfId="0" applyNumberFormat="1" applyFill="1"/>
    <xf numFmtId="0" fontId="6" fillId="0" borderId="0" xfId="0" applyFont="1" applyAlignment="1">
      <alignment vertical="top" wrapText="1"/>
    </xf>
    <xf numFmtId="164" fontId="0" fillId="5" borderId="0" xfId="0" applyNumberFormat="1" applyFill="1"/>
    <xf numFmtId="44" fontId="0" fillId="0" borderId="1" xfId="0" applyNumberFormat="1" applyBorder="1"/>
    <xf numFmtId="0" fontId="2" fillId="0" borderId="0" xfId="0" applyFont="1" applyAlignment="1">
      <alignment vertical="top" wrapText="1"/>
    </xf>
    <xf numFmtId="164" fontId="0" fillId="0" borderId="0" xfId="1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44" fontId="0" fillId="0" borderId="14" xfId="0" applyNumberFormat="1" applyBorder="1"/>
    <xf numFmtId="44" fontId="0" fillId="0" borderId="0" xfId="0" applyNumberFormat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14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167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2" fillId="0" borderId="9" xfId="0" applyFont="1" applyBorder="1"/>
    <xf numFmtId="0" fontId="2" fillId="0" borderId="19" xfId="0" applyFont="1" applyBorder="1"/>
    <xf numFmtId="0" fontId="0" fillId="0" borderId="10" xfId="0" applyBorder="1"/>
    <xf numFmtId="164" fontId="2" fillId="0" borderId="1" xfId="0" applyNumberFormat="1" applyFont="1" applyBorder="1"/>
    <xf numFmtId="0" fontId="2" fillId="0" borderId="1" xfId="0" applyFont="1" applyBorder="1"/>
    <xf numFmtId="44" fontId="2" fillId="0" borderId="8" xfId="2" applyFont="1" applyBorder="1"/>
    <xf numFmtId="164" fontId="0" fillId="0" borderId="16" xfId="1" applyNumberFormat="1" applyFont="1" applyBorder="1" applyAlignment="1">
      <alignment horizontal="center"/>
    </xf>
    <xf numFmtId="44" fontId="0" fillId="0" borderId="16" xfId="2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8" xfId="0" applyBorder="1" applyAlignment="1">
      <alignment horizontal="center"/>
    </xf>
    <xf numFmtId="44" fontId="0" fillId="0" borderId="15" xfId="2" applyFont="1" applyBorder="1"/>
    <xf numFmtId="44" fontId="0" fillId="0" borderId="18" xfId="2" applyFont="1" applyBorder="1"/>
    <xf numFmtId="44" fontId="0" fillId="0" borderId="10" xfId="2" applyFont="1" applyBorder="1"/>
    <xf numFmtId="0" fontId="0" fillId="0" borderId="23" xfId="0" applyBorder="1"/>
    <xf numFmtId="44" fontId="0" fillId="0" borderId="24" xfId="2" applyFont="1" applyBorder="1"/>
    <xf numFmtId="0" fontId="0" fillId="0" borderId="25" xfId="0" applyBorder="1"/>
    <xf numFmtId="0" fontId="0" fillId="0" borderId="26" xfId="0" applyBorder="1"/>
    <xf numFmtId="44" fontId="0" fillId="0" borderId="27" xfId="0" applyNumberFormat="1" applyBorder="1"/>
    <xf numFmtId="0" fontId="0" fillId="0" borderId="4" xfId="0" applyBorder="1"/>
    <xf numFmtId="44" fontId="0" fillId="0" borderId="15" xfId="2" applyFont="1" applyFill="1" applyBorder="1" applyAlignment="1">
      <alignment horizontal="center"/>
    </xf>
    <xf numFmtId="44" fontId="0" fillId="0" borderId="18" xfId="2" applyFont="1" applyFill="1" applyBorder="1" applyAlignment="1">
      <alignment horizontal="center"/>
    </xf>
    <xf numFmtId="0" fontId="0" fillId="0" borderId="13" xfId="0" applyBorder="1"/>
    <xf numFmtId="44" fontId="0" fillId="0" borderId="28" xfId="0" applyNumberFormat="1" applyBorder="1"/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4" fontId="0" fillId="0" borderId="28" xfId="2" applyFont="1" applyBorder="1"/>
    <xf numFmtId="44" fontId="0" fillId="0" borderId="11" xfId="2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44" fontId="2" fillId="0" borderId="28" xfId="2" applyFont="1" applyBorder="1" applyAlignment="1">
      <alignment horizontal="left"/>
    </xf>
    <xf numFmtId="44" fontId="0" fillId="0" borderId="28" xfId="0" applyNumberFormat="1" applyBorder="1" applyAlignment="1">
      <alignment horizontal="center"/>
    </xf>
    <xf numFmtId="44" fontId="0" fillId="0" borderId="8" xfId="2" applyFont="1" applyBorder="1"/>
    <xf numFmtId="0" fontId="0" fillId="0" borderId="15" xfId="0" applyBorder="1" applyAlignment="1">
      <alignment wrapText="1"/>
    </xf>
    <xf numFmtId="44" fontId="0" fillId="0" borderId="12" xfId="0" applyNumberFormat="1" applyBorder="1"/>
    <xf numFmtId="165" fontId="0" fillId="0" borderId="1" xfId="0" applyNumberFormat="1" applyBorder="1"/>
    <xf numFmtId="0" fontId="2" fillId="0" borderId="6" xfId="0" applyFont="1" applyBorder="1" applyAlignment="1">
      <alignment horizontal="center" vertical="center"/>
    </xf>
    <xf numFmtId="0" fontId="2" fillId="0" borderId="32" xfId="0" applyFont="1" applyBorder="1"/>
    <xf numFmtId="44" fontId="0" fillId="0" borderId="34" xfId="2" applyFont="1" applyBorder="1" applyAlignment="1">
      <alignment horizontal="center"/>
    </xf>
    <xf numFmtId="164" fontId="0" fillId="0" borderId="34" xfId="1" applyNumberFormat="1" applyFont="1" applyBorder="1" applyAlignment="1">
      <alignment horizontal="center"/>
    </xf>
    <xf numFmtId="0" fontId="2" fillId="0" borderId="33" xfId="0" applyFont="1" applyBorder="1"/>
    <xf numFmtId="164" fontId="0" fillId="0" borderId="35" xfId="1" applyNumberFormat="1" applyFont="1" applyBorder="1" applyAlignment="1">
      <alignment horizontal="right"/>
    </xf>
    <xf numFmtId="164" fontId="0" fillId="0" borderId="36" xfId="1" applyNumberFormat="1" applyFont="1" applyBorder="1" applyAlignment="1">
      <alignment horizontal="right"/>
    </xf>
    <xf numFmtId="164" fontId="2" fillId="0" borderId="37" xfId="1" applyNumberFormat="1" applyFont="1" applyBorder="1" applyAlignment="1">
      <alignment horizontal="right"/>
    </xf>
    <xf numFmtId="0" fontId="2" fillId="0" borderId="40" xfId="0" applyFont="1" applyBorder="1"/>
    <xf numFmtId="0" fontId="2" fillId="0" borderId="39" xfId="0" applyFont="1" applyBorder="1"/>
    <xf numFmtId="0" fontId="0" fillId="0" borderId="41" xfId="0" applyBorder="1"/>
    <xf numFmtId="44" fontId="0" fillId="0" borderId="41" xfId="2" applyFont="1" applyBorder="1"/>
    <xf numFmtId="0" fontId="0" fillId="0" borderId="41" xfId="0" applyBorder="1" applyAlignment="1">
      <alignment horizontal="center"/>
    </xf>
    <xf numFmtId="44" fontId="0" fillId="0" borderId="41" xfId="0" applyNumberFormat="1" applyBorder="1"/>
    <xf numFmtId="0" fontId="0" fillId="0" borderId="46" xfId="0" applyBorder="1"/>
    <xf numFmtId="0" fontId="0" fillId="0" borderId="41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8" xfId="0" applyBorder="1" applyAlignment="1">
      <alignment horizontal="left"/>
    </xf>
    <xf numFmtId="44" fontId="2" fillId="0" borderId="50" xfId="0" applyNumberFormat="1" applyFont="1" applyBorder="1" applyAlignment="1">
      <alignment horizontal="left"/>
    </xf>
    <xf numFmtId="0" fontId="0" fillId="0" borderId="51" xfId="0" applyBorder="1"/>
    <xf numFmtId="0" fontId="0" fillId="0" borderId="46" xfId="0" applyBorder="1" applyAlignment="1">
      <alignment horizontal="left"/>
    </xf>
    <xf numFmtId="0" fontId="2" fillId="0" borderId="53" xfId="0" applyFont="1" applyBorder="1" applyAlignment="1">
      <alignment horizontal="left"/>
    </xf>
    <xf numFmtId="44" fontId="0" fillId="0" borderId="48" xfId="0" applyNumberFormat="1" applyBorder="1"/>
    <xf numFmtId="44" fontId="0" fillId="0" borderId="48" xfId="2" applyFont="1" applyFill="1" applyBorder="1" applyAlignment="1">
      <alignment horizontal="center"/>
    </xf>
    <xf numFmtId="0" fontId="2" fillId="0" borderId="49" xfId="0" applyFont="1" applyBorder="1"/>
    <xf numFmtId="0" fontId="2" fillId="0" borderId="46" xfId="0" applyFont="1" applyBorder="1"/>
    <xf numFmtId="44" fontId="0" fillId="0" borderId="52" xfId="2" applyFont="1" applyFill="1" applyBorder="1" applyAlignment="1">
      <alignment horizontal="center"/>
    </xf>
    <xf numFmtId="6" fontId="0" fillId="0" borderId="41" xfId="0" applyNumberFormat="1" applyBorder="1" applyAlignment="1">
      <alignment horizontal="center"/>
    </xf>
    <xf numFmtId="44" fontId="0" fillId="0" borderId="41" xfId="2" applyFont="1" applyBorder="1" applyAlignment="1">
      <alignment horizontal="center"/>
    </xf>
    <xf numFmtId="164" fontId="0" fillId="0" borderId="41" xfId="1" applyNumberFormat="1" applyFont="1" applyBorder="1" applyAlignment="1">
      <alignment horizontal="center"/>
    </xf>
    <xf numFmtId="0" fontId="0" fillId="0" borderId="48" xfId="0" applyBorder="1" applyAlignment="1">
      <alignment horizontal="center"/>
    </xf>
    <xf numFmtId="6" fontId="0" fillId="0" borderId="48" xfId="0" applyNumberFormat="1" applyBorder="1" applyAlignment="1">
      <alignment horizontal="center"/>
    </xf>
    <xf numFmtId="44" fontId="0" fillId="0" borderId="48" xfId="2" applyFont="1" applyBorder="1" applyAlignment="1">
      <alignment horizontal="center"/>
    </xf>
    <xf numFmtId="164" fontId="0" fillId="0" borderId="48" xfId="1" applyNumberFormat="1" applyFont="1" applyBorder="1" applyAlignment="1">
      <alignment horizontal="center"/>
    </xf>
    <xf numFmtId="44" fontId="0" fillId="0" borderId="48" xfId="2" applyFont="1" applyBorder="1"/>
    <xf numFmtId="0" fontId="0" fillId="0" borderId="5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2" xfId="0" applyBorder="1"/>
    <xf numFmtId="44" fontId="0" fillId="0" borderId="42" xfId="2" applyFont="1" applyBorder="1"/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0" fillId="0" borderId="44" xfId="0" applyBorder="1"/>
    <xf numFmtId="0" fontId="0" fillId="0" borderId="44" xfId="0" applyBorder="1" applyAlignment="1">
      <alignment horizontal="center"/>
    </xf>
    <xf numFmtId="44" fontId="0" fillId="0" borderId="44" xfId="2" applyFont="1" applyBorder="1" applyAlignment="1">
      <alignment horizontal="center"/>
    </xf>
    <xf numFmtId="164" fontId="0" fillId="0" borderId="44" xfId="1" applyNumberFormat="1" applyFont="1" applyBorder="1" applyAlignment="1">
      <alignment horizontal="center"/>
    </xf>
    <xf numFmtId="44" fontId="0" fillId="0" borderId="45" xfId="2" applyFont="1" applyBorder="1"/>
    <xf numFmtId="44" fontId="0" fillId="0" borderId="47" xfId="2" applyFont="1" applyBorder="1"/>
    <xf numFmtId="44" fontId="0" fillId="0" borderId="52" xfId="2" applyFont="1" applyBorder="1"/>
    <xf numFmtId="164" fontId="0" fillId="0" borderId="38" xfId="1" applyNumberFormat="1" applyFont="1" applyBorder="1" applyAlignment="1">
      <alignment horizontal="center"/>
    </xf>
    <xf numFmtId="44" fontId="0" fillId="0" borderId="38" xfId="2" applyFont="1" applyBorder="1" applyAlignment="1">
      <alignment horizontal="center"/>
    </xf>
    <xf numFmtId="44" fontId="0" fillId="0" borderId="59" xfId="2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49" xfId="0" applyFont="1" applyBorder="1" applyAlignment="1">
      <alignment wrapText="1"/>
    </xf>
    <xf numFmtId="164" fontId="0" fillId="0" borderId="42" xfId="1" applyNumberFormat="1" applyFont="1" applyBorder="1"/>
    <xf numFmtId="0" fontId="2" fillId="0" borderId="43" xfId="0" applyFont="1" applyBorder="1"/>
    <xf numFmtId="164" fontId="0" fillId="0" borderId="44" xfId="1" applyNumberFormat="1" applyFont="1" applyBorder="1"/>
    <xf numFmtId="166" fontId="0" fillId="0" borderId="44" xfId="0" applyNumberFormat="1" applyBorder="1" applyAlignment="1">
      <alignment horizontal="center"/>
    </xf>
    <xf numFmtId="44" fontId="0" fillId="0" borderId="45" xfId="2" applyFont="1" applyBorder="1" applyAlignment="1">
      <alignment horizontal="center"/>
    </xf>
    <xf numFmtId="0" fontId="2" fillId="0" borderId="46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0" fillId="0" borderId="54" xfId="0" applyBorder="1"/>
    <xf numFmtId="44" fontId="0" fillId="0" borderId="55" xfId="0" applyNumberFormat="1" applyBorder="1"/>
    <xf numFmtId="0" fontId="2" fillId="0" borderId="58" xfId="0" applyFont="1" applyBorder="1" applyAlignment="1">
      <alignment horizontal="center" vertical="center"/>
    </xf>
    <xf numFmtId="0" fontId="0" fillId="0" borderId="54" xfId="0" applyBorder="1" applyAlignment="1">
      <alignment horizontal="left"/>
    </xf>
    <xf numFmtId="0" fontId="0" fillId="0" borderId="42" xfId="0" applyBorder="1" applyAlignment="1">
      <alignment horizontal="left"/>
    </xf>
    <xf numFmtId="44" fontId="0" fillId="0" borderId="42" xfId="2" applyFont="1" applyBorder="1" applyAlignment="1">
      <alignment horizontal="left"/>
    </xf>
    <xf numFmtId="164" fontId="0" fillId="0" borderId="42" xfId="1" applyNumberFormat="1" applyFont="1" applyBorder="1" applyAlignment="1">
      <alignment horizontal="left"/>
    </xf>
    <xf numFmtId="0" fontId="2" fillId="0" borderId="54" xfId="0" applyFont="1" applyBorder="1"/>
    <xf numFmtId="0" fontId="0" fillId="0" borderId="56" xfId="0" applyBorder="1" applyAlignment="1">
      <alignment horizontal="center" vertical="center"/>
    </xf>
    <xf numFmtId="44" fontId="2" fillId="0" borderId="58" xfId="2" applyFont="1" applyBorder="1" applyAlignment="1">
      <alignment horizontal="center" vertical="center" wrapText="1"/>
    </xf>
    <xf numFmtId="44" fontId="0" fillId="0" borderId="44" xfId="2" applyFont="1" applyBorder="1"/>
    <xf numFmtId="44" fontId="0" fillId="0" borderId="11" xfId="0" applyNumberFormat="1" applyBorder="1"/>
    <xf numFmtId="44" fontId="0" fillId="0" borderId="52" xfId="2" applyFont="1" applyFill="1" applyBorder="1"/>
    <xf numFmtId="44" fontId="0" fillId="0" borderId="61" xfId="2" applyFont="1" applyFill="1" applyBorder="1"/>
    <xf numFmtId="0" fontId="0" fillId="0" borderId="47" xfId="0" applyBorder="1"/>
    <xf numFmtId="44" fontId="0" fillId="0" borderId="62" xfId="0" applyNumberFormat="1" applyBorder="1"/>
    <xf numFmtId="44" fontId="0" fillId="0" borderId="47" xfId="0" applyNumberFormat="1" applyBorder="1"/>
    <xf numFmtId="0" fontId="2" fillId="0" borderId="46" xfId="0" applyFont="1" applyBorder="1" applyAlignment="1">
      <alignment horizontal="left" indent="1"/>
    </xf>
    <xf numFmtId="44" fontId="0" fillId="0" borderId="41" xfId="2" applyFont="1" applyFill="1" applyBorder="1"/>
    <xf numFmtId="164" fontId="0" fillId="0" borderId="44" xfId="0" applyNumberFormat="1" applyBorder="1"/>
    <xf numFmtId="165" fontId="0" fillId="0" borderId="41" xfId="0" applyNumberFormat="1" applyBorder="1"/>
    <xf numFmtId="0" fontId="0" fillId="0" borderId="56" xfId="0" applyBorder="1"/>
    <xf numFmtId="165" fontId="2" fillId="0" borderId="57" xfId="0" applyNumberFormat="1" applyFont="1" applyBorder="1" applyAlignment="1">
      <alignment horizontal="center" vertical="center"/>
    </xf>
    <xf numFmtId="9" fontId="2" fillId="0" borderId="57" xfId="0" applyNumberFormat="1" applyFont="1" applyBorder="1" applyAlignment="1">
      <alignment horizontal="center" vertical="center"/>
    </xf>
    <xf numFmtId="9" fontId="2" fillId="0" borderId="58" xfId="0" applyNumberFormat="1" applyFont="1" applyBorder="1" applyAlignment="1">
      <alignment horizontal="center" vertical="center"/>
    </xf>
    <xf numFmtId="164" fontId="0" fillId="0" borderId="45" xfId="0" applyNumberFormat="1" applyBorder="1"/>
    <xf numFmtId="165" fontId="0" fillId="0" borderId="47" xfId="0" applyNumberFormat="1" applyBorder="1"/>
    <xf numFmtId="44" fontId="0" fillId="0" borderId="41" xfId="0" applyNumberFormat="1" applyBorder="1" applyAlignment="1">
      <alignment horizontal="center"/>
    </xf>
    <xf numFmtId="44" fontId="0" fillId="0" borderId="48" xfId="0" applyNumberFormat="1" applyBorder="1" applyAlignment="1">
      <alignment horizontal="center"/>
    </xf>
    <xf numFmtId="44" fontId="0" fillId="0" borderId="44" xfId="0" applyNumberFormat="1" applyBorder="1" applyAlignment="1">
      <alignment horizontal="center"/>
    </xf>
    <xf numFmtId="0" fontId="2" fillId="0" borderId="63" xfId="0" applyFont="1" applyBorder="1" applyAlignment="1">
      <alignment horizontal="center" vertical="center" wrapText="1"/>
    </xf>
    <xf numFmtId="0" fontId="2" fillId="0" borderId="64" xfId="0" applyFont="1" applyBorder="1" applyAlignment="1">
      <alignment wrapText="1"/>
    </xf>
    <xf numFmtId="0" fontId="2" fillId="0" borderId="65" xfId="0" applyFont="1" applyBorder="1" applyAlignment="1">
      <alignment wrapText="1"/>
    </xf>
    <xf numFmtId="164" fontId="0" fillId="0" borderId="0" xfId="1" applyNumberFormat="1" applyFont="1" applyBorder="1" applyAlignment="1">
      <alignment horizontal="right"/>
    </xf>
    <xf numFmtId="0" fontId="2" fillId="0" borderId="68" xfId="0" applyFont="1" applyBorder="1"/>
    <xf numFmtId="44" fontId="0" fillId="0" borderId="69" xfId="2" applyFont="1" applyBorder="1" applyAlignment="1">
      <alignment horizontal="center"/>
    </xf>
    <xf numFmtId="44" fontId="0" fillId="0" borderId="42" xfId="2" applyFont="1" applyBorder="1" applyAlignment="1">
      <alignment horizontal="center"/>
    </xf>
    <xf numFmtId="44" fontId="0" fillId="0" borderId="55" xfId="2" applyFont="1" applyBorder="1"/>
    <xf numFmtId="164" fontId="0" fillId="0" borderId="2" xfId="1" applyNumberFormat="1" applyFont="1" applyBorder="1" applyAlignment="1">
      <alignment horizontal="right"/>
    </xf>
    <xf numFmtId="164" fontId="0" fillId="0" borderId="9" xfId="1" applyNumberFormat="1" applyFont="1" applyBorder="1"/>
    <xf numFmtId="164" fontId="0" fillId="0" borderId="0" xfId="1" applyNumberFormat="1" applyFont="1" applyBorder="1"/>
    <xf numFmtId="164" fontId="0" fillId="0" borderId="0" xfId="1" applyNumberFormat="1" applyFont="1"/>
    <xf numFmtId="6" fontId="0" fillId="0" borderId="42" xfId="0" applyNumberFormat="1" applyBorder="1" applyAlignment="1">
      <alignment horizontal="center"/>
    </xf>
    <xf numFmtId="0" fontId="2" fillId="0" borderId="17" xfId="0" applyFont="1" applyBorder="1"/>
    <xf numFmtId="164" fontId="0" fillId="0" borderId="15" xfId="1" applyNumberFormat="1" applyFont="1" applyBorder="1" applyAlignment="1">
      <alignment horizontal="right"/>
    </xf>
    <xf numFmtId="44" fontId="0" fillId="0" borderId="15" xfId="2" applyFont="1" applyBorder="1" applyAlignment="1">
      <alignment horizontal="center"/>
    </xf>
    <xf numFmtId="0" fontId="2" fillId="0" borderId="9" xfId="0" applyFont="1" applyBorder="1" applyAlignment="1">
      <alignment wrapText="1"/>
    </xf>
    <xf numFmtId="44" fontId="0" fillId="0" borderId="70" xfId="2" applyFont="1" applyBorder="1"/>
    <xf numFmtId="0" fontId="0" fillId="0" borderId="71" xfId="0" applyBorder="1"/>
    <xf numFmtId="44" fontId="0" fillId="0" borderId="15" xfId="0" applyNumberFormat="1" applyBorder="1" applyAlignment="1">
      <alignment horizontal="center"/>
    </xf>
    <xf numFmtId="0" fontId="0" fillId="0" borderId="15" xfId="0" applyBorder="1"/>
    <xf numFmtId="0" fontId="2" fillId="0" borderId="64" xfId="0" applyFont="1" applyBorder="1"/>
    <xf numFmtId="0" fontId="2" fillId="0" borderId="65" xfId="0" applyFont="1" applyBorder="1"/>
    <xf numFmtId="44" fontId="0" fillId="0" borderId="66" xfId="2" applyFont="1" applyBorder="1"/>
    <xf numFmtId="0" fontId="0" fillId="0" borderId="67" xfId="0" applyBorder="1"/>
    <xf numFmtId="44" fontId="0" fillId="0" borderId="69" xfId="2" applyFont="1" applyBorder="1"/>
    <xf numFmtId="44" fontId="0" fillId="0" borderId="42" xfId="2" applyFont="1" applyFill="1" applyBorder="1"/>
    <xf numFmtId="44" fontId="0" fillId="0" borderId="73" xfId="0" applyNumberFormat="1" applyBorder="1"/>
    <xf numFmtId="44" fontId="0" fillId="0" borderId="72" xfId="0" applyNumberFormat="1" applyBorder="1"/>
    <xf numFmtId="0" fontId="2" fillId="0" borderId="74" xfId="0" applyFont="1" applyBorder="1" applyAlignment="1">
      <alignment horizontal="left" indent="1"/>
    </xf>
    <xf numFmtId="0" fontId="2" fillId="0" borderId="53" xfId="0" applyFont="1" applyBorder="1"/>
    <xf numFmtId="0" fontId="2" fillId="0" borderId="74" xfId="0" applyFont="1" applyBorder="1"/>
    <xf numFmtId="0" fontId="2" fillId="0" borderId="75" xfId="0" applyFont="1" applyBorder="1"/>
    <xf numFmtId="164" fontId="0" fillId="0" borderId="76" xfId="1" applyNumberFormat="1" applyFont="1" applyBorder="1" applyAlignment="1">
      <alignment horizontal="left"/>
    </xf>
    <xf numFmtId="44" fontId="0" fillId="0" borderId="78" xfId="2" applyFont="1" applyBorder="1" applyAlignment="1">
      <alignment horizontal="center"/>
    </xf>
    <xf numFmtId="44" fontId="0" fillId="0" borderId="77" xfId="2" applyFont="1" applyBorder="1" applyAlignment="1">
      <alignment horizontal="center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left" wrapText="1"/>
    </xf>
    <xf numFmtId="0" fontId="0" fillId="0" borderId="67" xfId="0" applyBorder="1" applyAlignment="1">
      <alignment horizontal="left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vertical="top" wrapText="1"/>
    </xf>
    <xf numFmtId="0" fontId="2" fillId="2" borderId="21" xfId="0" applyFont="1" applyFill="1" applyBorder="1" applyAlignment="1">
      <alignment horizontal="center" vertical="top"/>
    </xf>
    <xf numFmtId="0" fontId="2" fillId="2" borderId="2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6" borderId="17" xfId="0" applyFont="1" applyFill="1" applyBorder="1" applyAlignment="1">
      <alignment horizontal="center" vertical="top" wrapText="1"/>
    </xf>
    <xf numFmtId="0" fontId="2" fillId="6" borderId="15" xfId="0" applyFont="1" applyFill="1" applyBorder="1" applyAlignment="1">
      <alignment horizontal="center" vertical="top" wrapText="1"/>
    </xf>
    <xf numFmtId="0" fontId="2" fillId="6" borderId="18" xfId="0" applyFont="1" applyFill="1" applyBorder="1" applyAlignment="1">
      <alignment horizontal="center" vertical="top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E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showGridLines="0" workbookViewId="0">
      <selection activeCell="E8" sqref="E8"/>
    </sheetView>
  </sheetViews>
  <sheetFormatPr baseColWidth="10" defaultColWidth="8.83203125" defaultRowHeight="15"/>
  <cols>
    <col min="1" max="1" width="4" customWidth="1"/>
    <col min="2" max="2" width="17.83203125" bestFit="1" customWidth="1"/>
    <col min="3" max="3" width="13.1640625" bestFit="1" customWidth="1"/>
    <col min="4" max="4" width="10.5" bestFit="1" customWidth="1"/>
    <col min="5" max="5" width="16.1640625" bestFit="1" customWidth="1"/>
  </cols>
  <sheetData>
    <row r="1" spans="2:5" ht="11.25" customHeight="1" thickBot="1"/>
    <row r="2" spans="2:5" ht="16" thickBot="1">
      <c r="B2" s="215" t="s">
        <v>10</v>
      </c>
      <c r="C2" s="216"/>
      <c r="D2" s="216"/>
      <c r="E2" s="217"/>
    </row>
    <row r="3" spans="2:5" s="3" customFormat="1" ht="16" thickBot="1">
      <c r="B3" s="137" t="s">
        <v>5</v>
      </c>
      <c r="C3" s="138" t="s">
        <v>6</v>
      </c>
      <c r="D3" s="138" t="s">
        <v>8</v>
      </c>
      <c r="E3" s="84" t="s">
        <v>9</v>
      </c>
    </row>
    <row r="4" spans="2:5">
      <c r="B4" s="92" t="s">
        <v>124</v>
      </c>
      <c r="C4" s="134">
        <v>10000</v>
      </c>
      <c r="D4" s="135">
        <v>42</v>
      </c>
      <c r="E4" s="136">
        <f>C4*D4</f>
        <v>420000</v>
      </c>
    </row>
    <row r="5" spans="2:5">
      <c r="B5" s="85" t="s">
        <v>125</v>
      </c>
      <c r="C5" s="50">
        <v>9000</v>
      </c>
      <c r="D5" s="51">
        <v>45.9</v>
      </c>
      <c r="E5" s="136">
        <f t="shared" ref="E5:E8" si="0">C5*D5</f>
        <v>413100</v>
      </c>
    </row>
    <row r="6" spans="2:5">
      <c r="B6" s="85" t="s">
        <v>126</v>
      </c>
      <c r="C6" s="50">
        <v>15000</v>
      </c>
      <c r="D6" s="51">
        <v>38.15</v>
      </c>
      <c r="E6" s="136">
        <f t="shared" si="0"/>
        <v>572250</v>
      </c>
    </row>
    <row r="7" spans="2:5">
      <c r="B7" s="85" t="s">
        <v>127</v>
      </c>
      <c r="C7" s="50">
        <v>35000</v>
      </c>
      <c r="D7" s="51">
        <v>32.5</v>
      </c>
      <c r="E7" s="211">
        <f t="shared" si="0"/>
        <v>1137500</v>
      </c>
    </row>
    <row r="8" spans="2:5" ht="16" thickBot="1">
      <c r="B8" s="88" t="s">
        <v>128</v>
      </c>
      <c r="C8" s="87">
        <v>21000</v>
      </c>
      <c r="D8" s="86">
        <v>28.75</v>
      </c>
      <c r="E8" s="212">
        <f t="shared" si="0"/>
        <v>603750</v>
      </c>
    </row>
    <row r="9" spans="2:5" ht="4" customHeight="1" thickTop="1">
      <c r="B9" s="44"/>
      <c r="C9" s="43"/>
      <c r="E9" s="46"/>
    </row>
    <row r="10" spans="2:5" ht="16" thickBot="1">
      <c r="B10" s="8" t="s">
        <v>7</v>
      </c>
      <c r="C10" s="47"/>
      <c r="D10" s="48"/>
      <c r="E10" s="49">
        <f>SUM(E4:E8)</f>
        <v>3146600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showGridLines="0" workbookViewId="0"/>
  </sheetViews>
  <sheetFormatPr baseColWidth="10" defaultColWidth="8.83203125" defaultRowHeight="15"/>
  <cols>
    <col min="1" max="1" width="17.5" customWidth="1"/>
    <col min="2" max="2" width="3.5" customWidth="1"/>
    <col min="3" max="3" width="15.83203125" customWidth="1"/>
    <col min="4" max="4" width="3.5" customWidth="1"/>
    <col min="5" max="5" width="19.5" customWidth="1"/>
    <col min="6" max="6" width="3.5" customWidth="1"/>
    <col min="7" max="7" width="19.83203125" style="1" customWidth="1"/>
  </cols>
  <sheetData>
    <row r="1" spans="1:7" ht="48">
      <c r="A1" s="5" t="s">
        <v>11</v>
      </c>
      <c r="B1" s="6" t="s">
        <v>12</v>
      </c>
      <c r="C1" s="5" t="s">
        <v>13</v>
      </c>
      <c r="D1" s="6" t="s">
        <v>14</v>
      </c>
      <c r="E1" s="5" t="s">
        <v>16</v>
      </c>
      <c r="F1" s="7" t="s">
        <v>15</v>
      </c>
      <c r="G1" s="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9"/>
  <sheetViews>
    <sheetView showGridLines="0" workbookViewId="0">
      <selection activeCell="G13" sqref="G13"/>
    </sheetView>
  </sheetViews>
  <sheetFormatPr baseColWidth="10" defaultColWidth="8.83203125" defaultRowHeight="15"/>
  <cols>
    <col min="1" max="1" width="0.83203125" customWidth="1"/>
    <col min="2" max="2" width="39.83203125" bestFit="1" customWidth="1"/>
    <col min="3" max="3" width="11.1640625" bestFit="1" customWidth="1"/>
    <col min="4" max="4" width="11.6640625" customWidth="1"/>
    <col min="5" max="5" width="11.83203125" bestFit="1" customWidth="1"/>
    <col min="6" max="6" width="11.1640625" bestFit="1" customWidth="1"/>
    <col min="7" max="7" width="11.83203125" customWidth="1"/>
  </cols>
  <sheetData>
    <row r="1" spans="2:7" ht="11.25" customHeight="1" thickBot="1"/>
    <row r="2" spans="2:7" ht="30.75" customHeight="1" thickBot="1">
      <c r="B2" s="218" t="s">
        <v>22</v>
      </c>
      <c r="C2" s="219"/>
      <c r="D2" s="219"/>
      <c r="E2" s="219"/>
      <c r="F2" s="219"/>
      <c r="G2" s="220"/>
    </row>
    <row r="3" spans="2:7" s="4" customFormat="1" ht="29.25" customHeight="1" thickBot="1">
      <c r="B3" s="14"/>
      <c r="C3" s="146" t="s">
        <v>124</v>
      </c>
      <c r="D3" s="146" t="s">
        <v>125</v>
      </c>
      <c r="E3" s="146" t="s">
        <v>126</v>
      </c>
      <c r="F3" s="177" t="s">
        <v>127</v>
      </c>
      <c r="G3" s="71" t="s">
        <v>128</v>
      </c>
    </row>
    <row r="4" spans="2:7">
      <c r="B4" s="92" t="s">
        <v>18</v>
      </c>
      <c r="C4" s="134">
        <f>INDEX('Sales Forecast'!$C$4:$C$8,MATCH('Production Budget'!C3,'Sales Forecast'!$B$4:$B$8,0))</f>
        <v>10000</v>
      </c>
      <c r="D4" s="134">
        <f>INDEX('Sales Forecast'!$C$4:$C$8,MATCH('Production Budget'!D3,'Sales Forecast'!$B$4:$B$8,0))</f>
        <v>9000</v>
      </c>
      <c r="E4" s="134">
        <f>INDEX('Sales Forecast'!$C$4:$C$8,MATCH('Production Budget'!E3,'Sales Forecast'!$B$4:$B$8,0))</f>
        <v>15000</v>
      </c>
      <c r="F4" s="134">
        <f>INDEX('Sales Forecast'!$C$4:$C$8,MATCH('Production Budget'!F3,'Sales Forecast'!$B$4:$B$8,0))</f>
        <v>35000</v>
      </c>
      <c r="G4" s="134">
        <f>INDEX('Sales Forecast'!$C$4:$C$8,MATCH('Production Budget'!G3,'Sales Forecast'!$B$4:$B$8,0))</f>
        <v>21000</v>
      </c>
    </row>
    <row r="5" spans="2:7">
      <c r="B5" s="93" t="s">
        <v>120</v>
      </c>
      <c r="C5" s="89">
        <f>C4*5%</f>
        <v>500</v>
      </c>
      <c r="D5" s="89">
        <f t="shared" ref="D5:G5" si="0">D4*5%</f>
        <v>450</v>
      </c>
      <c r="E5" s="89">
        <f t="shared" si="0"/>
        <v>750</v>
      </c>
      <c r="F5" s="89">
        <f t="shared" si="0"/>
        <v>1750</v>
      </c>
      <c r="G5" s="89">
        <f t="shared" si="0"/>
        <v>1050</v>
      </c>
    </row>
    <row r="6" spans="2:7">
      <c r="B6" s="92" t="s">
        <v>19</v>
      </c>
      <c r="C6" s="90">
        <f>SUM(C4:C5)</f>
        <v>10500</v>
      </c>
      <c r="D6" s="90">
        <f t="shared" ref="D6:G6" si="1">SUM(D4:D5)</f>
        <v>9450</v>
      </c>
      <c r="E6" s="90">
        <f t="shared" si="1"/>
        <v>15750</v>
      </c>
      <c r="F6" s="90">
        <f t="shared" si="1"/>
        <v>36750</v>
      </c>
      <c r="G6" s="90">
        <f t="shared" si="1"/>
        <v>22050</v>
      </c>
    </row>
    <row r="7" spans="2:7">
      <c r="B7" s="93" t="s">
        <v>21</v>
      </c>
      <c r="C7" s="89">
        <f>INDEX('Beginning Inventories Budget'!$C$4:$C$8,MATCH('Production Budget'!C3,'Beginning Inventories Budget'!$B$4:$B$8,0))</f>
        <v>800</v>
      </c>
      <c r="D7" s="89">
        <f>INDEX('Beginning Inventories Budget'!$C$4:$C$8,MATCH('Production Budget'!D3,'Beginning Inventories Budget'!$B$4:$B$8,0))</f>
        <v>2000</v>
      </c>
      <c r="E7" s="89">
        <f>INDEX('Beginning Inventories Budget'!$C$4:$C$8,MATCH('Production Budget'!E3,'Beginning Inventories Budget'!$B$4:$B$8,0))</f>
        <v>1500</v>
      </c>
      <c r="F7" s="89">
        <f>INDEX('Beginning Inventories Budget'!$C$4:$C$8,MATCH('Production Budget'!F3,'Beginning Inventories Budget'!$B$4:$B$8,0))</f>
        <v>500</v>
      </c>
      <c r="G7" s="89">
        <f>INDEX('Beginning Inventories Budget'!$C$4:$C$8,MATCH('Production Budget'!G3,'Beginning Inventories Budget'!$B$4:$B$8,0))</f>
        <v>1250</v>
      </c>
    </row>
    <row r="8" spans="2:7" ht="16" thickBot="1">
      <c r="B8" s="45" t="s">
        <v>20</v>
      </c>
      <c r="C8" s="91">
        <f>C6-C7</f>
        <v>9700</v>
      </c>
      <c r="D8" s="91">
        <f t="shared" ref="D8:G8" si="2">D6-D7</f>
        <v>7450</v>
      </c>
      <c r="E8" s="91">
        <f t="shared" si="2"/>
        <v>14250</v>
      </c>
      <c r="F8" s="91">
        <f t="shared" si="2"/>
        <v>36250</v>
      </c>
      <c r="G8" s="91">
        <f t="shared" si="2"/>
        <v>20800</v>
      </c>
    </row>
    <row r="9" spans="2:7" ht="4.5" customHeight="1" thickTop="1" thickBot="1">
      <c r="B9" s="11"/>
      <c r="C9" s="12"/>
      <c r="D9" s="12"/>
      <c r="E9" s="12"/>
      <c r="F9" s="12"/>
      <c r="G9" s="13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"/>
  <sheetViews>
    <sheetView showGridLines="0" workbookViewId="0">
      <selection activeCell="D8" sqref="D8"/>
    </sheetView>
  </sheetViews>
  <sheetFormatPr baseColWidth="10" defaultColWidth="18.1640625" defaultRowHeight="15"/>
  <cols>
    <col min="1" max="1" width="0.83203125" customWidth="1"/>
    <col min="3" max="3" width="15.1640625" customWidth="1"/>
  </cols>
  <sheetData>
    <row r="1" spans="2:8" ht="11.25" customHeight="1" thickBot="1"/>
    <row r="2" spans="2:8" ht="16" thickBot="1">
      <c r="B2" s="221" t="s">
        <v>121</v>
      </c>
      <c r="C2" s="222"/>
      <c r="D2" s="222"/>
      <c r="E2" s="222"/>
      <c r="F2" s="222"/>
      <c r="G2" s="222"/>
      <c r="H2" s="223"/>
    </row>
    <row r="3" spans="2:8" ht="49" thickBot="1">
      <c r="B3" s="69"/>
      <c r="C3" s="125" t="s">
        <v>122</v>
      </c>
      <c r="D3" s="125" t="s">
        <v>156</v>
      </c>
      <c r="E3" s="125" t="s">
        <v>105</v>
      </c>
      <c r="F3" s="125" t="s">
        <v>106</v>
      </c>
      <c r="G3" s="125" t="s">
        <v>107</v>
      </c>
      <c r="H3" s="156" t="s">
        <v>123</v>
      </c>
    </row>
    <row r="4" spans="2:8">
      <c r="B4" s="181" t="s">
        <v>124</v>
      </c>
      <c r="C4" s="180">
        <v>800</v>
      </c>
      <c r="D4" s="182">
        <f>INDEX( 'Direct MaterialsBudget - All'!$C$4:$G$4,MATCH('Beginning Inventories Budget'!B4,'Direct MaterialsBudget - All'!$C$3:$G$3,0))</f>
        <v>26.4</v>
      </c>
      <c r="E4" s="183">
        <f>INDEX('Labor Cost- All'!$B$5:$F$5,MATCH('Beginning Inventories Budget'!B4,'Labor Cost- All'!$B$3:$F$3,0))</f>
        <v>5.85</v>
      </c>
      <c r="F4" s="122">
        <f>INDEX(Overhead!$G$4:$G$8,MATCH('Beginning Inventories Budget'!B4,Overhead!$B$4:$B$8,0))/INDEX(Overhead!$C$4:$C$8,MATCH('Beginning Inventories Budget'!B4,Overhead!$B$4:$B$8,0))</f>
        <v>2</v>
      </c>
      <c r="G4" s="122">
        <f>F4+D4+E5</f>
        <v>33.85</v>
      </c>
      <c r="H4" s="184">
        <f>G4*C4</f>
        <v>27080</v>
      </c>
    </row>
    <row r="5" spans="2:8" ht="16">
      <c r="B5" s="178" t="s">
        <v>125</v>
      </c>
      <c r="C5" s="180">
        <v>2000</v>
      </c>
      <c r="D5" s="182">
        <f>INDEX( 'Direct MaterialsBudget - All'!$C$4:$G$4,MATCH('Beginning Inventories Budget'!B5,'Direct MaterialsBudget - All'!$C$3:$G$3,0))</f>
        <v>25</v>
      </c>
      <c r="E5" s="183">
        <f>INDEX('Labor Cost- All'!$B$5:$F$5,MATCH('Beginning Inventories Budget'!B5,'Labor Cost- All'!$B$3:$F$3,0))</f>
        <v>5.45</v>
      </c>
      <c r="F5" s="122">
        <f>INDEX(Overhead!$G$4:$G$8,MATCH('Beginning Inventories Budget'!B5,Overhead!$B$4:$B$8,0))/INDEX(Overhead!$C$4:$C$8,MATCH('Beginning Inventories Budget'!B5,Overhead!$B$4:$B$8,0))</f>
        <v>1.9999999999999998</v>
      </c>
      <c r="G5" s="122">
        <f t="shared" ref="G5:G8" si="0">F5+D5+E6</f>
        <v>31.98</v>
      </c>
      <c r="H5" s="184">
        <f t="shared" ref="H5:H8" si="1">G5*C5</f>
        <v>63960</v>
      </c>
    </row>
    <row r="6" spans="2:8" ht="16">
      <c r="B6" s="178" t="s">
        <v>126</v>
      </c>
      <c r="C6" s="180">
        <v>1500</v>
      </c>
      <c r="D6" s="182">
        <f>INDEX( 'Direct MaterialsBudget - All'!$C$4:$G$4,MATCH('Beginning Inventories Budget'!B6,'Direct MaterialsBudget - All'!$C$3:$G$3,0))</f>
        <v>30.25</v>
      </c>
      <c r="E6" s="183">
        <f>INDEX('Labor Cost- All'!$B$5:$F$5,MATCH('Beginning Inventories Budget'!B6,'Labor Cost- All'!$B$3:$F$3,0))</f>
        <v>4.9800000000000004</v>
      </c>
      <c r="F6" s="122">
        <f>INDEX(Overhead!$G$4:$G$8,MATCH('Beginning Inventories Budget'!B6,Overhead!$B$4:$B$8,0))/INDEX(Overhead!$C$4:$C$8,MATCH('Beginning Inventories Budget'!B6,Overhead!$B$4:$B$8,0))</f>
        <v>1.9</v>
      </c>
      <c r="G6" s="122">
        <f t="shared" si="0"/>
        <v>39.339999999999996</v>
      </c>
      <c r="H6" s="184">
        <f t="shared" si="1"/>
        <v>59009.999999999993</v>
      </c>
    </row>
    <row r="7" spans="2:8" ht="16">
      <c r="B7" s="178" t="s">
        <v>127</v>
      </c>
      <c r="C7" s="180">
        <v>500</v>
      </c>
      <c r="D7" s="182">
        <f>INDEX( 'Direct MaterialsBudget - All'!$C$4:$G$4,MATCH('Beginning Inventories Budget'!B7,'Direct MaterialsBudget - All'!$C$3:$G$3,0))</f>
        <v>24</v>
      </c>
      <c r="E7" s="183">
        <f>INDEX('Labor Cost- All'!$B$5:$F$5,MATCH('Beginning Inventories Budget'!B7,'Labor Cost- All'!$B$3:$F$3,0))</f>
        <v>7.19</v>
      </c>
      <c r="F7" s="122">
        <f>INDEX(Overhead!$G$4:$G$8,MATCH('Beginning Inventories Budget'!B7,Overhead!$B$4:$B$8,0))/INDEX(Overhead!$C$4:$C$8,MATCH('Beginning Inventories Budget'!B7,Overhead!$B$4:$B$8,0))</f>
        <v>1.7</v>
      </c>
      <c r="G7" s="122">
        <f t="shared" si="0"/>
        <v>32.72</v>
      </c>
      <c r="H7" s="184">
        <f t="shared" si="1"/>
        <v>16360</v>
      </c>
    </row>
    <row r="8" spans="2:8" ht="16">
      <c r="B8" s="179" t="s">
        <v>128</v>
      </c>
      <c r="C8" s="185">
        <v>1250</v>
      </c>
      <c r="D8" s="182">
        <f>INDEX( 'Direct MaterialsBudget - All'!$C$4:$G$4,MATCH('Beginning Inventories Budget'!B8,'Direct MaterialsBudget - All'!$C$3:$G$3,0))</f>
        <v>18.600000000000001</v>
      </c>
      <c r="E8" s="183">
        <f>INDEX('Labor Cost- All'!$B$5:$F$5,MATCH('Beginning Inventories Budget'!B8,'Labor Cost- All'!$B$3:$F$3,0))</f>
        <v>7.02</v>
      </c>
      <c r="F8" s="122">
        <f>INDEX(Overhead!$G$4:$G$8,MATCH('Beginning Inventories Budget'!B8,Overhead!$B$4:$B$8,0))/INDEX(Overhead!$C$4:$C$8,MATCH('Beginning Inventories Budget'!B8,Overhead!$B$4:$B$8,0))</f>
        <v>1.8</v>
      </c>
      <c r="G8" s="122">
        <f t="shared" si="0"/>
        <v>20.400000000000002</v>
      </c>
      <c r="H8" s="184">
        <f t="shared" si="1"/>
        <v>25500.000000000004</v>
      </c>
    </row>
    <row r="9" spans="2:8" ht="16" thickBot="1">
      <c r="B9" s="224"/>
      <c r="C9" s="225"/>
      <c r="D9" s="24"/>
      <c r="E9" s="25"/>
      <c r="F9" s="15"/>
      <c r="G9" s="15"/>
      <c r="H9" s="73">
        <f>SUM(H4:H8)</f>
        <v>191910</v>
      </c>
    </row>
    <row r="10" spans="2:8" ht="10.5" customHeight="1" thickTop="1" thickBot="1">
      <c r="B10" s="11"/>
      <c r="C10" s="12"/>
      <c r="D10" s="12"/>
      <c r="E10" s="12"/>
      <c r="F10" s="12"/>
      <c r="G10" s="12"/>
      <c r="H10" s="13"/>
    </row>
  </sheetData>
  <mergeCells count="2">
    <mergeCell ref="B2:H2"/>
    <mergeCell ref="B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9"/>
  <sheetViews>
    <sheetView showGridLines="0" workbookViewId="0">
      <selection activeCell="F8" sqref="F8"/>
    </sheetView>
  </sheetViews>
  <sheetFormatPr baseColWidth="10" defaultColWidth="8.83203125" defaultRowHeight="15"/>
  <cols>
    <col min="1" max="1" width="0.83203125" customWidth="1"/>
    <col min="2" max="2" width="11.5" bestFit="1" customWidth="1"/>
    <col min="3" max="3" width="9.6640625" bestFit="1" customWidth="1"/>
    <col min="4" max="4" width="11.83203125" bestFit="1" customWidth="1"/>
    <col min="5" max="5" width="8.1640625" bestFit="1" customWidth="1"/>
    <col min="6" max="6" width="20.6640625" bestFit="1" customWidth="1"/>
  </cols>
  <sheetData>
    <row r="1" spans="2:6" ht="11.25" customHeight="1" thickBot="1"/>
    <row r="2" spans="2:6" ht="38.5" customHeight="1" thickBot="1">
      <c r="B2" s="226" t="s">
        <v>131</v>
      </c>
      <c r="C2" s="227"/>
      <c r="D2" s="227"/>
      <c r="E2" s="227"/>
      <c r="F2" s="228"/>
    </row>
    <row r="3" spans="2:6" ht="16" thickBot="1">
      <c r="B3" s="123" t="s">
        <v>23</v>
      </c>
      <c r="C3" s="124" t="s">
        <v>24</v>
      </c>
      <c r="D3" s="124" t="s">
        <v>145</v>
      </c>
      <c r="E3" s="124" t="s">
        <v>25</v>
      </c>
      <c r="F3" s="149" t="s">
        <v>147</v>
      </c>
    </row>
    <row r="4" spans="2:6">
      <c r="B4" s="147" t="s">
        <v>132</v>
      </c>
      <c r="C4" s="121" t="s">
        <v>133</v>
      </c>
      <c r="D4" s="122">
        <v>10.5</v>
      </c>
      <c r="E4" s="120">
        <v>1</v>
      </c>
      <c r="F4" s="148">
        <f>D4*E4</f>
        <v>10.5</v>
      </c>
    </row>
    <row r="5" spans="2:6">
      <c r="B5" s="98" t="s">
        <v>134</v>
      </c>
      <c r="C5" s="94" t="s">
        <v>135</v>
      </c>
      <c r="D5" s="95">
        <v>5.8</v>
      </c>
      <c r="E5" s="96">
        <v>1</v>
      </c>
      <c r="F5" s="148">
        <f t="shared" ref="F5:F8" si="0">D5*E5</f>
        <v>5.8</v>
      </c>
    </row>
    <row r="6" spans="2:6">
      <c r="B6" s="98" t="s">
        <v>136</v>
      </c>
      <c r="C6" s="94" t="s">
        <v>137</v>
      </c>
      <c r="D6" s="95">
        <v>2.2999999999999998</v>
      </c>
      <c r="E6" s="96">
        <v>2</v>
      </c>
      <c r="F6" s="148">
        <f t="shared" si="0"/>
        <v>4.5999999999999996</v>
      </c>
    </row>
    <row r="7" spans="2:6">
      <c r="B7" s="98" t="s">
        <v>138</v>
      </c>
      <c r="C7" s="94" t="s">
        <v>139</v>
      </c>
      <c r="D7" s="95">
        <v>1.5</v>
      </c>
      <c r="E7" s="96">
        <v>1</v>
      </c>
      <c r="F7" s="148">
        <f t="shared" si="0"/>
        <v>1.5</v>
      </c>
    </row>
    <row r="8" spans="2:6">
      <c r="B8" s="98" t="s">
        <v>140</v>
      </c>
      <c r="C8" s="94" t="s">
        <v>141</v>
      </c>
      <c r="D8" s="95">
        <v>4</v>
      </c>
      <c r="E8" s="96">
        <v>1</v>
      </c>
      <c r="F8" s="148">
        <f t="shared" si="0"/>
        <v>4</v>
      </c>
    </row>
    <row r="9" spans="2:6" ht="4" customHeight="1" thickBot="1">
      <c r="B9" s="11"/>
      <c r="C9" s="12"/>
      <c r="D9" s="12"/>
      <c r="E9" s="12"/>
      <c r="F9" s="13"/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4"/>
  <sheetViews>
    <sheetView workbookViewId="0">
      <selection activeCell="H15" sqref="H15"/>
    </sheetView>
  </sheetViews>
  <sheetFormatPr baseColWidth="10" defaultColWidth="8.83203125" defaultRowHeight="15"/>
  <cols>
    <col min="1" max="1" width="0.83203125" customWidth="1"/>
    <col min="2" max="6" width="18" customWidth="1"/>
    <col min="7" max="7" width="4.1640625" customWidth="1"/>
    <col min="8" max="8" width="13.1640625" customWidth="1"/>
    <col min="9" max="9" width="5.5" customWidth="1"/>
  </cols>
  <sheetData>
    <row r="1" spans="2:8" ht="11.25" customHeight="1" thickBot="1"/>
    <row r="2" spans="2:8" ht="29.5" customHeight="1" thickBot="1">
      <c r="B2" s="229" t="s">
        <v>129</v>
      </c>
      <c r="C2" s="230"/>
      <c r="D2" s="230"/>
      <c r="E2" s="230"/>
      <c r="F2" s="230"/>
      <c r="G2" s="230"/>
      <c r="H2" s="231"/>
    </row>
    <row r="3" spans="2:8" ht="17" thickBot="1">
      <c r="B3" s="72" t="s">
        <v>23</v>
      </c>
      <c r="C3" s="70" t="s">
        <v>26</v>
      </c>
      <c r="D3" s="70" t="s">
        <v>145</v>
      </c>
      <c r="E3" s="70" t="s">
        <v>146</v>
      </c>
      <c r="F3" s="70" t="s">
        <v>6</v>
      </c>
      <c r="G3" s="70"/>
      <c r="H3" s="71" t="s">
        <v>27</v>
      </c>
    </row>
    <row r="4" spans="2:8">
      <c r="B4" s="147" t="s">
        <v>132</v>
      </c>
      <c r="C4" s="1">
        <f>VLOOKUP(B4, BOM!$B$4:$F$8,4,0)</f>
        <v>1</v>
      </c>
      <c r="D4" s="21">
        <f>VLOOKUP(B4,BOM!$B$4:$F$8,3,0)</f>
        <v>10.5</v>
      </c>
      <c r="E4" s="21">
        <f>VLOOKUP(B4,BOM!$B$4:$F$8,5,0)</f>
        <v>10.5</v>
      </c>
      <c r="F4" s="19">
        <f xml:space="preserve"> 'Sales Forecast'!$C$4</f>
        <v>10000</v>
      </c>
      <c r="G4" s="21"/>
      <c r="H4" s="57">
        <f>F4*E4</f>
        <v>105000</v>
      </c>
    </row>
    <row r="5" spans="2:8">
      <c r="B5" s="98" t="s">
        <v>134</v>
      </c>
      <c r="C5" s="1">
        <f>VLOOKUP(B5, BOM!$B$4:$F$8,4,0)</f>
        <v>1</v>
      </c>
      <c r="D5" s="21">
        <f>VLOOKUP(B5,BOM!$B$4:$F$8,3,0)</f>
        <v>5.8</v>
      </c>
      <c r="E5" s="21">
        <f>VLOOKUP(B5,BOM!$B$4:$F$8,5,0)</f>
        <v>5.8</v>
      </c>
      <c r="F5" s="19">
        <f xml:space="preserve"> 'Sales Forecast'!$C$4</f>
        <v>10000</v>
      </c>
      <c r="G5" s="21"/>
      <c r="H5" s="57">
        <f t="shared" ref="H5:H8" si="0">F5*E5</f>
        <v>58000</v>
      </c>
    </row>
    <row r="6" spans="2:8">
      <c r="B6" s="98" t="s">
        <v>136</v>
      </c>
      <c r="C6" s="1">
        <f>VLOOKUP(B6, BOM!$B$4:$F$8,4,0)</f>
        <v>2</v>
      </c>
      <c r="D6" s="21">
        <f>VLOOKUP(B6,BOM!$B$4:$F$8,3,0)</f>
        <v>2.2999999999999998</v>
      </c>
      <c r="E6" s="21">
        <f>VLOOKUP(B6,BOM!$B$4:$F$8,5,0)</f>
        <v>4.5999999999999996</v>
      </c>
      <c r="F6" s="19">
        <f xml:space="preserve"> 'Sales Forecast'!$C$4</f>
        <v>10000</v>
      </c>
      <c r="G6" s="21"/>
      <c r="H6" s="57">
        <f t="shared" si="0"/>
        <v>46000</v>
      </c>
    </row>
    <row r="7" spans="2:8">
      <c r="B7" s="98" t="s">
        <v>138</v>
      </c>
      <c r="C7" s="1">
        <f>VLOOKUP(B7, BOM!$B$4:$F$8,4,0)</f>
        <v>1</v>
      </c>
      <c r="D7" s="21">
        <f>VLOOKUP(B7,BOM!$B$4:$F$8,3,0)</f>
        <v>1.5</v>
      </c>
      <c r="E7" s="21">
        <f>VLOOKUP(B7,BOM!$B$4:$F$8,5,0)</f>
        <v>1.5</v>
      </c>
      <c r="F7" s="19">
        <f xml:space="preserve"> 'Sales Forecast'!$C$4</f>
        <v>10000</v>
      </c>
      <c r="G7" s="21"/>
      <c r="H7" s="57">
        <f t="shared" si="0"/>
        <v>15000</v>
      </c>
    </row>
    <row r="8" spans="2:8">
      <c r="B8" s="98" t="s">
        <v>140</v>
      </c>
      <c r="C8" s="1">
        <f>VLOOKUP(B8, BOM!$B$4:$F$8,4,0)</f>
        <v>1</v>
      </c>
      <c r="D8" s="21">
        <f>VLOOKUP(B8,BOM!$B$4:$F$8,3,0)</f>
        <v>4</v>
      </c>
      <c r="E8" s="21">
        <f>VLOOKUP(B8,BOM!$B$4:$F$8,5,0)</f>
        <v>4</v>
      </c>
      <c r="F8" s="19">
        <f xml:space="preserve"> 'Sales Forecast'!$C$4</f>
        <v>10000</v>
      </c>
      <c r="G8" s="21"/>
      <c r="H8" s="57">
        <f t="shared" si="0"/>
        <v>40000</v>
      </c>
    </row>
    <row r="9" spans="2:8">
      <c r="B9" s="58"/>
      <c r="C9" s="22"/>
      <c r="D9" s="23"/>
      <c r="E9" s="23">
        <f>SUM(E4:E8)</f>
        <v>26.4</v>
      </c>
      <c r="F9" s="22"/>
      <c r="G9" s="23"/>
      <c r="H9" s="59">
        <f>SUM(H4:H8)</f>
        <v>264000</v>
      </c>
    </row>
    <row r="10" spans="2:8">
      <c r="B10" s="9"/>
      <c r="H10" s="46"/>
    </row>
    <row r="11" spans="2:8">
      <c r="B11" s="9" t="s">
        <v>151</v>
      </c>
      <c r="H11" s="57">
        <f>E9*'Production Budget'!C5</f>
        <v>13200</v>
      </c>
    </row>
    <row r="12" spans="2:8">
      <c r="B12" s="9" t="s">
        <v>152</v>
      </c>
      <c r="H12" s="57">
        <f>E9*'Beginning Inventories Budget'!C4</f>
        <v>21120</v>
      </c>
    </row>
    <row r="13" spans="2:8">
      <c r="B13" s="9"/>
      <c r="H13" s="46"/>
    </row>
    <row r="14" spans="2:8" ht="16" thickBot="1">
      <c r="B14" s="60" t="s">
        <v>109</v>
      </c>
      <c r="C14" s="61"/>
      <c r="D14" s="61"/>
      <c r="E14" s="61"/>
      <c r="F14" s="61"/>
      <c r="G14" s="61"/>
      <c r="H14" s="62">
        <f>H9+H11-H12</f>
        <v>256080</v>
      </c>
    </row>
  </sheetData>
  <mergeCells count="1">
    <mergeCell ref="B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0"/>
  <sheetViews>
    <sheetView zoomScale="125" workbookViewId="0">
      <selection activeCell="D20" sqref="D20"/>
    </sheetView>
  </sheetViews>
  <sheetFormatPr baseColWidth="10" defaultColWidth="8.83203125" defaultRowHeight="15"/>
  <cols>
    <col min="1" max="1" width="5.5" customWidth="1"/>
    <col min="2" max="2" width="61.6640625" bestFit="1" customWidth="1"/>
    <col min="3" max="3" width="15" customWidth="1"/>
    <col min="4" max="7" width="12.1640625" bestFit="1" customWidth="1"/>
  </cols>
  <sheetData>
    <row r="1" spans="2:8" ht="11.25" customHeight="1" thickBot="1"/>
    <row r="2" spans="2:8" ht="29.5" customHeight="1" thickBot="1">
      <c r="B2" s="232" t="s">
        <v>148</v>
      </c>
      <c r="C2" s="216"/>
      <c r="D2" s="216"/>
      <c r="E2" s="216"/>
      <c r="F2" s="216"/>
      <c r="G2" s="217"/>
    </row>
    <row r="3" spans="2:8" ht="33" thickBot="1">
      <c r="B3" s="63"/>
      <c r="C3" s="70" t="s">
        <v>124</v>
      </c>
      <c r="D3" s="70" t="s">
        <v>125</v>
      </c>
      <c r="E3" s="70" t="s">
        <v>126</v>
      </c>
      <c r="F3" s="70" t="s">
        <v>127</v>
      </c>
      <c r="G3" s="71" t="s">
        <v>128</v>
      </c>
    </row>
    <row r="4" spans="2:8">
      <c r="B4" s="52" t="s">
        <v>85</v>
      </c>
      <c r="C4" s="55">
        <f>'Direct Materials Budget - Arch'!E9</f>
        <v>26.4</v>
      </c>
      <c r="D4" s="64">
        <v>25</v>
      </c>
      <c r="E4" s="64">
        <v>30.25</v>
      </c>
      <c r="F4" s="64">
        <v>24</v>
      </c>
      <c r="G4" s="65">
        <v>18.600000000000001</v>
      </c>
    </row>
    <row r="5" spans="2:8">
      <c r="B5" s="9" t="s">
        <v>6</v>
      </c>
      <c r="C5" s="33">
        <f>INDEX('Sales Forecast'!$C$4:$C$8,MATCH('Direct MaterialsBudget - All'!C3,'Sales Forecast'!$B$4:$B$8,0))</f>
        <v>10000</v>
      </c>
      <c r="D5" s="33">
        <f>INDEX('Sales Forecast'!$C$4:$C$8,MATCH('Direct MaterialsBudget - All'!D3,'Sales Forecast'!$B$4:$B$8,0))</f>
        <v>9000</v>
      </c>
      <c r="E5" s="33">
        <f>INDEX('Sales Forecast'!$C$4:$C$8,MATCH('Direct MaterialsBudget - All'!E3,'Sales Forecast'!$B$4:$B$8,0))</f>
        <v>15000</v>
      </c>
      <c r="F5" s="33">
        <f>INDEX('Sales Forecast'!$C$4:$C$8,MATCH('Direct MaterialsBudget - All'!F3,'Sales Forecast'!$B$4:$B$8,0))</f>
        <v>35000</v>
      </c>
      <c r="G5" s="33">
        <f>INDEX('Sales Forecast'!$C$4:$C$8,MATCH('Direct MaterialsBudget - All'!G3,'Sales Forecast'!$B$4:$B$8,0))</f>
        <v>21000</v>
      </c>
    </row>
    <row r="6" spans="2:8">
      <c r="B6" s="58" t="s">
        <v>28</v>
      </c>
      <c r="C6" s="35">
        <f>C4*C5</f>
        <v>264000</v>
      </c>
      <c r="D6" s="35">
        <f t="shared" ref="D6:G6" si="0">D4*D5</f>
        <v>225000</v>
      </c>
      <c r="E6" s="35">
        <f t="shared" si="0"/>
        <v>453750</v>
      </c>
      <c r="F6" s="35">
        <f t="shared" si="0"/>
        <v>840000</v>
      </c>
      <c r="G6" s="35">
        <f t="shared" si="0"/>
        <v>390600.00000000006</v>
      </c>
    </row>
    <row r="7" spans="2:8">
      <c r="B7" s="9"/>
      <c r="G7" s="46"/>
    </row>
    <row r="8" spans="2:8" s="188" customFormat="1">
      <c r="B8" s="186" t="s">
        <v>86</v>
      </c>
      <c r="C8" s="187">
        <f>INDEX('Production Budget'!$C$5:$G$5,MATCH('Direct MaterialsBudget - All'!C3,'Production Budget'!$C$3:$G$3,0))</f>
        <v>500</v>
      </c>
      <c r="D8" s="187">
        <f>INDEX('Production Budget'!$C$5:$G$5,MATCH('Direct MaterialsBudget - All'!D3,'Production Budget'!$C$3:$G$3,0))</f>
        <v>450</v>
      </c>
      <c r="E8" s="187">
        <f>INDEX('Production Budget'!$C$5:$G$5,MATCH('Direct MaterialsBudget - All'!E3,'Production Budget'!$C$3:$G$3,0))</f>
        <v>750</v>
      </c>
      <c r="F8" s="187">
        <f>INDEX('Production Budget'!$C$5:$G$5,MATCH('Direct MaterialsBudget - All'!F3,'Production Budget'!$C$3:$G$3,0))</f>
        <v>1750</v>
      </c>
      <c r="G8" s="187">
        <f>INDEX('Production Budget'!$C$5:$G$5,MATCH('Direct MaterialsBudget - All'!G3,'Production Budget'!$C$3:$G$3,0))</f>
        <v>1050</v>
      </c>
    </row>
    <row r="9" spans="2:8">
      <c r="B9" s="9" t="s">
        <v>153</v>
      </c>
      <c r="C9" s="17">
        <f>C8*C4</f>
        <v>13200</v>
      </c>
      <c r="D9" s="17">
        <f t="shared" ref="D9:G9" si="1">D8*D4</f>
        <v>11250</v>
      </c>
      <c r="E9" s="17">
        <f t="shared" si="1"/>
        <v>22687.5</v>
      </c>
      <c r="F9" s="17">
        <f t="shared" si="1"/>
        <v>42000</v>
      </c>
      <c r="G9" s="17">
        <f t="shared" si="1"/>
        <v>19530</v>
      </c>
    </row>
    <row r="10" spans="2:8" s="188" customFormat="1">
      <c r="B10" s="186" t="s">
        <v>149</v>
      </c>
      <c r="C10" s="187">
        <f>INDEX('Beginning Inventories Budget'!$C$4:$C$8,MATCH('Direct MaterialsBudget - All'!C3,'Beginning Inventories Budget'!$B$4:$B$8,0))</f>
        <v>800</v>
      </c>
      <c r="D10" s="187">
        <f>INDEX('Beginning Inventories Budget'!$C$4:$C$8,MATCH('Direct MaterialsBudget - All'!D3,'Beginning Inventories Budget'!$B$4:$B$8,0))</f>
        <v>2000</v>
      </c>
      <c r="E10" s="187">
        <f>INDEX('Beginning Inventories Budget'!$C$4:$C$8,MATCH('Direct MaterialsBudget - All'!E3,'Beginning Inventories Budget'!$B$4:$B$8,0))</f>
        <v>1500</v>
      </c>
      <c r="F10" s="187">
        <f>INDEX('Beginning Inventories Budget'!$C$4:$C$8,MATCH('Direct MaterialsBudget - All'!F3,'Beginning Inventories Budget'!$B$4:$B$8,0))</f>
        <v>500</v>
      </c>
      <c r="G10" s="187">
        <f>INDEX('Beginning Inventories Budget'!$C$4:$C$8,MATCH('Direct MaterialsBudget - All'!G3,'Beginning Inventories Budget'!$B$4:$B$8,0))</f>
        <v>1250</v>
      </c>
      <c r="H10" s="187"/>
    </row>
    <row r="11" spans="2:8">
      <c r="B11" s="9" t="s">
        <v>150</v>
      </c>
      <c r="C11" s="21">
        <f>C10*C4</f>
        <v>21120</v>
      </c>
      <c r="D11" s="21">
        <f t="shared" ref="D11:G11" si="2">D10*D4</f>
        <v>50000</v>
      </c>
      <c r="E11" s="21">
        <f t="shared" si="2"/>
        <v>45375</v>
      </c>
      <c r="F11" s="21">
        <f t="shared" si="2"/>
        <v>12000</v>
      </c>
      <c r="G11" s="21">
        <f t="shared" si="2"/>
        <v>23250</v>
      </c>
    </row>
    <row r="12" spans="2:8">
      <c r="B12" s="9"/>
      <c r="G12" s="46"/>
    </row>
    <row r="13" spans="2:8" ht="16" thickBot="1">
      <c r="B13" s="66" t="s">
        <v>109</v>
      </c>
      <c r="C13" s="18">
        <f>C9+C6-C11</f>
        <v>256080</v>
      </c>
      <c r="D13" s="18">
        <f t="shared" ref="D13:G13" si="3">D9+D6-D11</f>
        <v>186250</v>
      </c>
      <c r="E13" s="18">
        <f t="shared" si="3"/>
        <v>431062.5</v>
      </c>
      <c r="F13" s="18">
        <f t="shared" si="3"/>
        <v>870000</v>
      </c>
      <c r="G13" s="18">
        <f t="shared" si="3"/>
        <v>386880.00000000006</v>
      </c>
    </row>
    <row r="14" spans="2:8" ht="16" thickTop="1">
      <c r="B14" s="9"/>
      <c r="G14" s="46"/>
    </row>
    <row r="15" spans="2:8" ht="16" thickBot="1">
      <c r="B15" s="11"/>
      <c r="C15" s="12"/>
      <c r="D15" s="12"/>
      <c r="E15" s="12"/>
      <c r="F15" s="12"/>
      <c r="G15" s="13"/>
    </row>
    <row r="16" spans="2:8">
      <c r="C16" s="20"/>
      <c r="D16" s="20"/>
      <c r="E16" s="20"/>
      <c r="F16" s="20"/>
      <c r="G16" s="20"/>
    </row>
    <row r="20" spans="3:4">
      <c r="C20" s="17">
        <f>MAX(C13:G13)</f>
        <v>870000</v>
      </c>
      <c r="D20" t="str">
        <f>_xlfn.XLOOKUP(C20,C13:G13,C3:G3)</f>
        <v>Walnut - Slab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1"/>
  <sheetViews>
    <sheetView showGridLines="0" workbookViewId="0">
      <selection activeCell="F8" sqref="F8"/>
    </sheetView>
  </sheetViews>
  <sheetFormatPr baseColWidth="10" defaultColWidth="8.83203125" defaultRowHeight="15"/>
  <cols>
    <col min="1" max="1" width="0.83203125" customWidth="1"/>
    <col min="2" max="2" width="11.5" bestFit="1" customWidth="1"/>
    <col min="3" max="3" width="20.5" bestFit="1" customWidth="1"/>
    <col min="4" max="4" width="9.6640625" bestFit="1" customWidth="1"/>
    <col min="5" max="5" width="15.83203125" bestFit="1" customWidth="1"/>
    <col min="6" max="6" width="9.5" bestFit="1" customWidth="1"/>
    <col min="7" max="7" width="14.5" bestFit="1" customWidth="1"/>
    <col min="8" max="8" width="12.1640625" bestFit="1" customWidth="1"/>
  </cols>
  <sheetData>
    <row r="1" spans="2:8" ht="11.25" customHeight="1" thickBot="1"/>
    <row r="2" spans="2:8" ht="32.25" customHeight="1" thickBot="1">
      <c r="B2" s="213" t="s">
        <v>130</v>
      </c>
      <c r="C2" s="233"/>
      <c r="D2" s="233"/>
      <c r="E2" s="233"/>
      <c r="F2" s="233"/>
      <c r="G2" s="233"/>
      <c r="H2" s="214"/>
    </row>
    <row r="3" spans="2:8" ht="43" customHeight="1" thickBot="1">
      <c r="B3" s="123" t="s">
        <v>29</v>
      </c>
      <c r="C3" s="124" t="s">
        <v>30</v>
      </c>
      <c r="D3" s="125" t="s">
        <v>32</v>
      </c>
      <c r="E3" s="124" t="s">
        <v>31</v>
      </c>
      <c r="F3" s="125" t="s">
        <v>34</v>
      </c>
      <c r="G3" s="124" t="s">
        <v>33</v>
      </c>
      <c r="H3" s="126" t="s">
        <v>35</v>
      </c>
    </row>
    <row r="4" spans="2:8" ht="16" thickBot="1">
      <c r="B4" s="150">
        <v>1</v>
      </c>
      <c r="C4" s="151" t="s">
        <v>142</v>
      </c>
      <c r="D4" s="120">
        <v>8</v>
      </c>
      <c r="E4" s="189">
        <v>17</v>
      </c>
      <c r="F4" s="152">
        <f>(D4/60)*E4</f>
        <v>2.2666666666666666</v>
      </c>
      <c r="G4" s="153">
        <v>9700</v>
      </c>
      <c r="H4" s="78">
        <f t="shared" ref="H4:H6" si="0">F4*G4</f>
        <v>21986.666666666668</v>
      </c>
    </row>
    <row r="5" spans="2:8" ht="17" thickTop="1" thickBot="1">
      <c r="B5" s="104">
        <v>2</v>
      </c>
      <c r="C5" s="99" t="s">
        <v>143</v>
      </c>
      <c r="D5" s="96">
        <v>5</v>
      </c>
      <c r="E5" s="111">
        <v>15</v>
      </c>
      <c r="F5" s="152">
        <f t="shared" ref="F5:F6" si="1">(D5/60)*E5</f>
        <v>1.25</v>
      </c>
      <c r="G5" s="153">
        <v>9700</v>
      </c>
      <c r="H5" s="78">
        <f t="shared" si="0"/>
        <v>12125</v>
      </c>
    </row>
    <row r="6" spans="2:8" ht="17" thickTop="1" thickBot="1">
      <c r="B6" s="100">
        <v>3</v>
      </c>
      <c r="C6" s="101" t="s">
        <v>144</v>
      </c>
      <c r="D6" s="114">
        <v>7</v>
      </c>
      <c r="E6" s="115">
        <v>20</v>
      </c>
      <c r="F6" s="152">
        <f t="shared" si="1"/>
        <v>2.3333333333333335</v>
      </c>
      <c r="G6" s="210">
        <v>9700</v>
      </c>
      <c r="H6" s="78">
        <f t="shared" si="0"/>
        <v>22633.333333333336</v>
      </c>
    </row>
    <row r="7" spans="2:8" ht="17" thickTop="1" thickBot="1">
      <c r="B7" s="105" t="s">
        <v>7</v>
      </c>
      <c r="C7" s="103"/>
      <c r="D7" s="119">
        <f>SUM(D4:D6)</f>
        <v>20</v>
      </c>
      <c r="E7" s="119"/>
      <c r="F7" s="102">
        <f>SUM(F4:F6)</f>
        <v>5.85</v>
      </c>
      <c r="G7" s="153">
        <v>9700</v>
      </c>
      <c r="H7" s="78">
        <f>F7*G7</f>
        <v>56745</v>
      </c>
    </row>
    <row r="8" spans="2:8" ht="10" customHeight="1" thickTop="1" thickBot="1">
      <c r="B8" s="75"/>
      <c r="C8" s="76"/>
      <c r="D8" s="76"/>
      <c r="E8" s="76"/>
      <c r="F8" s="76"/>
      <c r="G8" s="76"/>
      <c r="H8" s="77"/>
    </row>
    <row r="11" spans="2:8">
      <c r="F11" s="2"/>
    </row>
  </sheetData>
  <mergeCells count="1"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showGridLines="0" topLeftCell="A2" zoomScale="125" workbookViewId="0">
      <selection activeCell="D5" sqref="D5"/>
    </sheetView>
  </sheetViews>
  <sheetFormatPr baseColWidth="10" defaultColWidth="8.83203125" defaultRowHeight="15"/>
  <cols>
    <col min="1" max="6" width="16.83203125" customWidth="1"/>
  </cols>
  <sheetData>
    <row r="1" spans="1:6" ht="11.25" customHeight="1" thickBot="1"/>
    <row r="2" spans="1:6" ht="32.25" customHeight="1" thickBot="1">
      <c r="A2" s="232" t="s">
        <v>87</v>
      </c>
      <c r="B2" s="216"/>
      <c r="C2" s="216"/>
      <c r="D2" s="216"/>
      <c r="E2" s="216"/>
      <c r="F2" s="217"/>
    </row>
    <row r="3" spans="1:6" ht="43" customHeight="1" thickBot="1">
      <c r="A3" s="155"/>
      <c r="B3" s="125" t="s">
        <v>124</v>
      </c>
      <c r="C3" s="125" t="s">
        <v>125</v>
      </c>
      <c r="D3" s="125" t="s">
        <v>126</v>
      </c>
      <c r="E3" s="125" t="s">
        <v>127</v>
      </c>
      <c r="F3" s="126" t="s">
        <v>128</v>
      </c>
    </row>
    <row r="4" spans="1:6">
      <c r="A4" s="154" t="s">
        <v>33</v>
      </c>
      <c r="B4" s="140">
        <f>INDEX('Production Budget'!$C$8:$G$8,MATCH('Labor Cost- All'!B3,'Production Budget'!$C$3:$G$3,0))</f>
        <v>9700</v>
      </c>
      <c r="C4" s="140">
        <f>INDEX('Production Budget'!$C$8:$G$8,MATCH('Labor Cost- All'!C3,'Production Budget'!$C$3:$G$3,0))</f>
        <v>7450</v>
      </c>
      <c r="D4" s="140">
        <f>INDEX('Production Budget'!$C$8:$G$8,MATCH('Labor Cost- All'!D3,'Production Budget'!$C$3:$G$3,0))</f>
        <v>14250</v>
      </c>
      <c r="E4" s="140">
        <f>INDEX('Production Budget'!$C$8:$G$8,MATCH('Labor Cost- All'!E3,'Production Budget'!$C$3:$G$3,0))</f>
        <v>36250</v>
      </c>
      <c r="F4" s="140">
        <f>INDEX('Production Budget'!$C$8:$G$8,MATCH('Labor Cost- All'!F3,'Production Budget'!$C$3:$G$3,0))</f>
        <v>20800</v>
      </c>
    </row>
    <row r="5" spans="1:6">
      <c r="A5" s="108" t="s">
        <v>34</v>
      </c>
      <c r="B5" s="106">
        <f>'Route Sheet &amp; Labor Cost- Arch'!F7</f>
        <v>5.85</v>
      </c>
      <c r="C5" s="107">
        <v>5.45</v>
      </c>
      <c r="D5" s="107">
        <v>4.9800000000000004</v>
      </c>
      <c r="E5" s="107">
        <v>7.19</v>
      </c>
      <c r="F5" s="110">
        <v>7.02</v>
      </c>
    </row>
    <row r="6" spans="1:6" ht="16" thickBot="1">
      <c r="A6" s="10" t="s">
        <v>35</v>
      </c>
      <c r="B6" s="16">
        <f>B4*B5</f>
        <v>56745</v>
      </c>
      <c r="C6" s="16">
        <f t="shared" ref="C6:F6" si="0">C4*C5</f>
        <v>40602.5</v>
      </c>
      <c r="D6" s="16">
        <f t="shared" si="0"/>
        <v>70965</v>
      </c>
      <c r="E6" s="16">
        <f t="shared" si="0"/>
        <v>260637.5</v>
      </c>
      <c r="F6" s="16">
        <f t="shared" si="0"/>
        <v>146016</v>
      </c>
    </row>
    <row r="7" spans="1:6" ht="17" thickTop="1" thickBot="1">
      <c r="A7" s="11"/>
      <c r="B7" s="12"/>
      <c r="C7" s="12"/>
      <c r="D7" s="12"/>
      <c r="E7" s="12"/>
      <c r="F7" s="13"/>
    </row>
    <row r="8" spans="1:6" ht="10" customHeight="1"/>
    <row r="11" spans="1:6">
      <c r="C11" s="17">
        <f>MIN(B5:F5)</f>
        <v>4.9800000000000004</v>
      </c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30"/>
  <sheetViews>
    <sheetView showGridLines="0" workbookViewId="0">
      <selection activeCell="G10" sqref="G10"/>
    </sheetView>
  </sheetViews>
  <sheetFormatPr baseColWidth="10" defaultColWidth="8.83203125" defaultRowHeight="15"/>
  <cols>
    <col min="1" max="1" width="2.1640625" customWidth="1"/>
    <col min="2" max="2" width="21.5" customWidth="1"/>
    <col min="3" max="3" width="15.6640625" customWidth="1"/>
    <col min="4" max="8" width="18.5" style="1" customWidth="1"/>
  </cols>
  <sheetData>
    <row r="1" spans="2:7" ht="11.25" customHeight="1" thickBot="1"/>
    <row r="2" spans="2:7" ht="32.5" customHeight="1" thickBot="1">
      <c r="B2" s="213" t="s">
        <v>93</v>
      </c>
      <c r="C2" s="233"/>
      <c r="D2" s="233"/>
      <c r="E2" s="233"/>
      <c r="F2" s="233"/>
      <c r="G2" s="214"/>
    </row>
    <row r="3" spans="2:7" ht="52.5" customHeight="1" thickBot="1">
      <c r="B3" s="63"/>
      <c r="C3" s="125" t="s">
        <v>33</v>
      </c>
      <c r="D3" s="125" t="s">
        <v>88</v>
      </c>
      <c r="E3" s="125" t="s">
        <v>91</v>
      </c>
      <c r="F3" s="125" t="s">
        <v>89</v>
      </c>
      <c r="G3" s="126" t="s">
        <v>90</v>
      </c>
    </row>
    <row r="4" spans="2:7" ht="16" thickBot="1">
      <c r="B4" s="141" t="s">
        <v>124</v>
      </c>
      <c r="C4" s="142">
        <f>INDEX('Production Budget'!$C$8:$G$8,MATCH(Overhead!B4,'Production Budget'!$C$3:$G$3,0))</f>
        <v>9700</v>
      </c>
      <c r="D4" s="128">
        <v>20</v>
      </c>
      <c r="E4" s="143">
        <f xml:space="preserve"> D4/60</f>
        <v>0.33333333333333331</v>
      </c>
      <c r="F4" s="129">
        <v>6</v>
      </c>
      <c r="G4" s="144">
        <f>C4*E4*F4</f>
        <v>19400</v>
      </c>
    </row>
    <row r="5" spans="2:7" ht="14.5" customHeight="1" thickBot="1">
      <c r="B5" s="145" t="s">
        <v>125</v>
      </c>
      <c r="C5" s="142">
        <f>INDEX('Production Budget'!$C$8:$G$8,MATCH(Overhead!B5,'Production Budget'!$C$3:$G$3,0))</f>
        <v>7450</v>
      </c>
      <c r="D5" s="96">
        <v>20</v>
      </c>
      <c r="E5" s="143">
        <f t="shared" ref="E5:E8" si="0" xml:space="preserve"> D5/60</f>
        <v>0.33333333333333331</v>
      </c>
      <c r="F5" s="112">
        <v>6</v>
      </c>
      <c r="G5" s="144">
        <f t="shared" ref="G5:G8" si="1">C5*E5*F5</f>
        <v>14899.999999999998</v>
      </c>
    </row>
    <row r="6" spans="2:7" ht="14.5" customHeight="1" thickBot="1">
      <c r="B6" s="145" t="s">
        <v>126</v>
      </c>
      <c r="C6" s="142">
        <f>INDEX('Production Budget'!$C$8:$G$8,MATCH(Overhead!B6,'Production Budget'!$C$3:$G$3,0))</f>
        <v>14250</v>
      </c>
      <c r="D6" s="96">
        <v>19</v>
      </c>
      <c r="E6" s="143">
        <f t="shared" si="0"/>
        <v>0.31666666666666665</v>
      </c>
      <c r="F6" s="112">
        <v>6</v>
      </c>
      <c r="G6" s="144">
        <f t="shared" si="1"/>
        <v>27075</v>
      </c>
    </row>
    <row r="7" spans="2:7" ht="14.5" customHeight="1" thickBot="1">
      <c r="B7" s="145" t="s">
        <v>127</v>
      </c>
      <c r="C7" s="142">
        <f>INDEX('Production Budget'!$C$8:$G$8,MATCH(Overhead!B7,'Production Budget'!$C$3:$G$3,0))</f>
        <v>36250</v>
      </c>
      <c r="D7" s="96">
        <v>17</v>
      </c>
      <c r="E7" s="143">
        <f t="shared" si="0"/>
        <v>0.28333333333333333</v>
      </c>
      <c r="F7" s="112">
        <v>6</v>
      </c>
      <c r="G7" s="144">
        <f t="shared" si="1"/>
        <v>61625</v>
      </c>
    </row>
    <row r="8" spans="2:7" ht="14.5" customHeight="1" thickBot="1">
      <c r="B8" s="139" t="s">
        <v>128</v>
      </c>
      <c r="C8" s="142">
        <f>INDEX('Production Budget'!$C$8:$G$8,MATCH(Overhead!B8,'Production Budget'!$C$3:$G$3,0))</f>
        <v>20800</v>
      </c>
      <c r="D8" s="114">
        <v>18</v>
      </c>
      <c r="E8" s="143">
        <f t="shared" si="0"/>
        <v>0.3</v>
      </c>
      <c r="F8" s="116">
        <v>6</v>
      </c>
      <c r="G8" s="144">
        <f t="shared" si="1"/>
        <v>37440</v>
      </c>
    </row>
    <row r="9" spans="2:7" ht="14.5" customHeight="1" thickBot="1">
      <c r="B9" s="234" t="s">
        <v>92</v>
      </c>
      <c r="C9" s="235"/>
      <c r="D9" s="24"/>
      <c r="E9" s="143"/>
      <c r="F9" s="24"/>
      <c r="G9" s="79">
        <f>SUM(G4:G8)</f>
        <v>160440</v>
      </c>
    </row>
    <row r="10" spans="2:7" ht="5.5" customHeight="1" thickTop="1" thickBot="1">
      <c r="B10" s="11"/>
      <c r="C10" s="12"/>
      <c r="D10" s="68"/>
      <c r="E10" s="68"/>
      <c r="F10" s="68"/>
      <c r="G10" s="54"/>
    </row>
    <row r="19" spans="2:6">
      <c r="B19" s="34"/>
    </row>
    <row r="20" spans="2:6">
      <c r="B20" s="34"/>
    </row>
    <row r="21" spans="2:6">
      <c r="B21" s="34"/>
    </row>
    <row r="22" spans="2:6">
      <c r="B22" s="34"/>
    </row>
    <row r="30" spans="2:6">
      <c r="F30" s="36"/>
    </row>
  </sheetData>
  <mergeCells count="2">
    <mergeCell ref="B9:C9"/>
    <mergeCell ref="B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27"/>
  <sheetViews>
    <sheetView showGridLines="0" workbookViewId="0">
      <selection activeCell="G9" sqref="G9"/>
    </sheetView>
  </sheetViews>
  <sheetFormatPr baseColWidth="10" defaultColWidth="8.83203125" defaultRowHeight="15"/>
  <cols>
    <col min="1" max="1" width="0.83203125" customWidth="1"/>
    <col min="2" max="2" width="19.1640625" customWidth="1"/>
    <col min="3" max="7" width="16.1640625" customWidth="1"/>
    <col min="8" max="8" width="13.5" style="2" bestFit="1" customWidth="1"/>
  </cols>
  <sheetData>
    <row r="1" spans="2:8" ht="11.25" customHeight="1" thickBot="1"/>
    <row r="2" spans="2:8" ht="14.5" customHeight="1" thickBot="1">
      <c r="B2" s="221" t="s">
        <v>104</v>
      </c>
      <c r="C2" s="222"/>
      <c r="D2" s="222"/>
      <c r="E2" s="222"/>
      <c r="F2" s="222"/>
      <c r="G2" s="222"/>
      <c r="H2" s="223"/>
    </row>
    <row r="3" spans="2:8" ht="65" thickBot="1">
      <c r="B3" s="69"/>
      <c r="C3" s="125" t="s">
        <v>103</v>
      </c>
      <c r="D3" s="125" t="s">
        <v>156</v>
      </c>
      <c r="E3" s="125" t="s">
        <v>105</v>
      </c>
      <c r="F3" s="125" t="s">
        <v>106</v>
      </c>
      <c r="G3" s="125" t="s">
        <v>107</v>
      </c>
      <c r="H3" s="156" t="s">
        <v>108</v>
      </c>
    </row>
    <row r="4" spans="2:8" ht="16" thickBot="1">
      <c r="B4" s="190" t="s">
        <v>124</v>
      </c>
      <c r="C4" s="191">
        <f>INDEX('Production Budget'!$C$5:$G$5,MATCH('Ending Inventories Budget'!B4,'Production Budget'!$C$3:$G$3,0))</f>
        <v>500</v>
      </c>
      <c r="D4" s="192">
        <f>'Beginning Inventories Budget'!D4</f>
        <v>26.4</v>
      </c>
      <c r="E4" s="192">
        <f>'Beginning Inventories Budget'!E4</f>
        <v>5.85</v>
      </c>
      <c r="F4" s="192">
        <f>'Beginning Inventories Budget'!F4</f>
        <v>2</v>
      </c>
      <c r="G4" s="194">
        <f>SUM(D4:F4)</f>
        <v>34.25</v>
      </c>
      <c r="H4" s="56">
        <f>G4*C4</f>
        <v>17125</v>
      </c>
    </row>
    <row r="5" spans="2:8" ht="17" thickBot="1">
      <c r="B5" s="193" t="s">
        <v>125</v>
      </c>
      <c r="C5" s="191">
        <f>INDEX('Production Budget'!$C$5:$G$5,MATCH('Ending Inventories Budget'!B5,'Production Budget'!$C$3:$G$3,0))</f>
        <v>450</v>
      </c>
      <c r="D5" s="192">
        <f>'Beginning Inventories Budget'!D5</f>
        <v>25</v>
      </c>
      <c r="E5" s="192">
        <f>'Beginning Inventories Budget'!E5</f>
        <v>5.45</v>
      </c>
      <c r="F5" s="192">
        <f>'Beginning Inventories Budget'!F5</f>
        <v>1.9999999999999998</v>
      </c>
      <c r="G5" s="194">
        <f t="shared" ref="G5:G9" si="0">SUM(D5:F5)</f>
        <v>32.449999999999996</v>
      </c>
      <c r="H5" s="56">
        <f t="shared" ref="H5:H8" si="1">G5*C5</f>
        <v>14602.499999999998</v>
      </c>
    </row>
    <row r="6" spans="2:8" ht="17" thickBot="1">
      <c r="B6" s="193" t="s">
        <v>126</v>
      </c>
      <c r="C6" s="191">
        <f>INDEX('Production Budget'!$C$5:$G$5,MATCH('Ending Inventories Budget'!B6,'Production Budget'!$C$3:$G$3,0))</f>
        <v>750</v>
      </c>
      <c r="D6" s="192">
        <f>'Beginning Inventories Budget'!D6</f>
        <v>30.25</v>
      </c>
      <c r="E6" s="192">
        <f>'Beginning Inventories Budget'!E6</f>
        <v>4.9800000000000004</v>
      </c>
      <c r="F6" s="192">
        <f>'Beginning Inventories Budget'!F6</f>
        <v>1.9</v>
      </c>
      <c r="G6" s="194">
        <f t="shared" si="0"/>
        <v>37.130000000000003</v>
      </c>
      <c r="H6" s="56">
        <f t="shared" si="1"/>
        <v>27847.500000000004</v>
      </c>
    </row>
    <row r="7" spans="2:8" ht="17" thickBot="1">
      <c r="B7" s="193" t="s">
        <v>127</v>
      </c>
      <c r="C7" s="191">
        <f>INDEX('Production Budget'!$C$5:$G$5,MATCH('Ending Inventories Budget'!B7,'Production Budget'!$C$3:$G$3,0))</f>
        <v>1750</v>
      </c>
      <c r="D7" s="192">
        <f>'Beginning Inventories Budget'!D7</f>
        <v>24</v>
      </c>
      <c r="E7" s="192">
        <f>'Beginning Inventories Budget'!E7</f>
        <v>7.19</v>
      </c>
      <c r="F7" s="192">
        <f>'Beginning Inventories Budget'!F7</f>
        <v>1.7</v>
      </c>
      <c r="G7" s="194">
        <f t="shared" si="0"/>
        <v>32.89</v>
      </c>
      <c r="H7" s="56">
        <f t="shared" si="1"/>
        <v>57557.5</v>
      </c>
    </row>
    <row r="8" spans="2:8" ht="17" thickBot="1">
      <c r="B8" s="193" t="s">
        <v>128</v>
      </c>
      <c r="C8" s="191">
        <f>INDEX('Production Budget'!$C$5:$G$5,MATCH('Ending Inventories Budget'!B8,'Production Budget'!$C$3:$G$3,0))</f>
        <v>1050</v>
      </c>
      <c r="D8" s="192">
        <f>'Beginning Inventories Budget'!D8</f>
        <v>18.600000000000001</v>
      </c>
      <c r="E8" s="192">
        <f>'Beginning Inventories Budget'!E8</f>
        <v>7.02</v>
      </c>
      <c r="F8" s="192">
        <f>'Beginning Inventories Budget'!F8</f>
        <v>1.8</v>
      </c>
      <c r="G8" s="194">
        <f t="shared" si="0"/>
        <v>27.42</v>
      </c>
      <c r="H8" s="56">
        <f t="shared" si="1"/>
        <v>28791</v>
      </c>
    </row>
    <row r="9" spans="2:8">
      <c r="B9" s="236" t="s">
        <v>154</v>
      </c>
      <c r="C9" s="237"/>
      <c r="D9" s="192">
        <f>'Beginning Inventories Budget'!D9</f>
        <v>0</v>
      </c>
      <c r="E9" s="196"/>
      <c r="F9" s="197"/>
      <c r="G9" s="194">
        <f t="shared" si="0"/>
        <v>0</v>
      </c>
      <c r="H9" s="56">
        <f>SUM(H4:H8)</f>
        <v>145923.5</v>
      </c>
    </row>
    <row r="10" spans="2:8" ht="9.75" customHeight="1" thickBot="1">
      <c r="B10" s="11"/>
      <c r="C10" s="12"/>
      <c r="D10" s="12"/>
      <c r="E10" s="12"/>
      <c r="F10" s="12"/>
      <c r="G10" s="195"/>
      <c r="H10" s="80"/>
    </row>
    <row r="13" spans="2:8">
      <c r="H13"/>
    </row>
    <row r="14" spans="2:8">
      <c r="H14"/>
    </row>
    <row r="15" spans="2:8">
      <c r="H15"/>
    </row>
    <row r="16" spans="2:8">
      <c r="H16"/>
    </row>
    <row r="17" spans="8:8">
      <c r="H17"/>
    </row>
    <row r="18" spans="8:8">
      <c r="H18"/>
    </row>
    <row r="19" spans="8:8">
      <c r="H19"/>
    </row>
    <row r="20" spans="8:8">
      <c r="H20"/>
    </row>
    <row r="21" spans="8:8">
      <c r="H21"/>
    </row>
    <row r="22" spans="8:8">
      <c r="H22"/>
    </row>
    <row r="23" spans="8:8">
      <c r="H23"/>
    </row>
    <row r="24" spans="8:8">
      <c r="H24"/>
    </row>
    <row r="25" spans="8:8">
      <c r="H25"/>
    </row>
    <row r="26" spans="8:8">
      <c r="H26"/>
    </row>
    <row r="27" spans="8:8">
      <c r="H27"/>
    </row>
  </sheetData>
  <mergeCells count="2">
    <mergeCell ref="B9:C9"/>
    <mergeCell ref="B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D12"/>
  <sheetViews>
    <sheetView showGridLines="0" workbookViewId="0">
      <selection activeCell="D12" sqref="D12"/>
    </sheetView>
  </sheetViews>
  <sheetFormatPr baseColWidth="10" defaultColWidth="8.83203125" defaultRowHeight="15"/>
  <cols>
    <col min="1" max="1" width="0.83203125" customWidth="1"/>
    <col min="2" max="2" width="33.83203125" bestFit="1" customWidth="1"/>
    <col min="3" max="3" width="13.5" bestFit="1" customWidth="1"/>
    <col min="4" max="4" width="14" customWidth="1"/>
  </cols>
  <sheetData>
    <row r="1" spans="2:4" ht="11.25" customHeight="1" thickBot="1"/>
    <row r="2" spans="2:4" ht="15" customHeight="1" thickBot="1">
      <c r="B2" s="213" t="s">
        <v>94</v>
      </c>
      <c r="C2" s="233"/>
      <c r="D2" s="214"/>
    </row>
    <row r="3" spans="2:4">
      <c r="B3" s="52"/>
      <c r="C3" s="81"/>
      <c r="D3" s="53"/>
    </row>
    <row r="4" spans="2:4">
      <c r="B4" s="109" t="s">
        <v>36</v>
      </c>
      <c r="C4" s="94"/>
      <c r="D4" s="74">
        <f>'Beginning Inventories Budget'!H9</f>
        <v>191910</v>
      </c>
    </row>
    <row r="5" spans="2:4">
      <c r="B5" s="109" t="s">
        <v>37</v>
      </c>
      <c r="C5" s="97">
        <f>SUM('Direct MaterialsBudget - All'!C13:G13)</f>
        <v>2130272.5</v>
      </c>
      <c r="D5" s="161"/>
    </row>
    <row r="6" spans="2:4">
      <c r="B6" s="109" t="s">
        <v>43</v>
      </c>
      <c r="C6" s="97">
        <f>SUM('Labor Cost- All'!B6:F6)</f>
        <v>574966</v>
      </c>
      <c r="D6" s="161"/>
    </row>
    <row r="7" spans="2:4">
      <c r="B7" s="109" t="s">
        <v>38</v>
      </c>
      <c r="C7" s="160">
        <f>Overhead!G9</f>
        <v>160440</v>
      </c>
      <c r="D7" s="161"/>
    </row>
    <row r="8" spans="2:4">
      <c r="B8" s="109" t="s">
        <v>39</v>
      </c>
      <c r="C8" s="94"/>
      <c r="D8" s="82">
        <f>SUM(C5:C7)</f>
        <v>2865678.5</v>
      </c>
    </row>
    <row r="9" spans="2:4">
      <c r="B9" s="109" t="s">
        <v>40</v>
      </c>
      <c r="C9" s="94"/>
      <c r="D9" s="158">
        <f>D4+D8</f>
        <v>3057588.5</v>
      </c>
    </row>
    <row r="10" spans="2:4">
      <c r="B10" s="109" t="s">
        <v>41</v>
      </c>
      <c r="C10" s="94"/>
      <c r="D10" s="159">
        <f>'Ending Inventories Budget'!H9</f>
        <v>145923.5</v>
      </c>
    </row>
    <row r="11" spans="2:4" ht="16" thickBot="1">
      <c r="B11" s="109" t="s">
        <v>42</v>
      </c>
      <c r="C11" s="94"/>
      <c r="D11" s="67">
        <f>D9-D10</f>
        <v>2911665</v>
      </c>
    </row>
    <row r="12" spans="2:4" ht="9" customHeight="1" thickTop="1" thickBot="1">
      <c r="B12" s="11"/>
      <c r="C12" s="12"/>
      <c r="D12" s="13"/>
    </row>
  </sheetData>
  <mergeCells count="1">
    <mergeCell ref="B2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F8"/>
  <sheetViews>
    <sheetView showGridLines="0" workbookViewId="0">
      <selection activeCell="F8" sqref="F8"/>
    </sheetView>
  </sheetViews>
  <sheetFormatPr baseColWidth="10" defaultColWidth="8.83203125" defaultRowHeight="15"/>
  <cols>
    <col min="1" max="1" width="0.83203125" customWidth="1"/>
    <col min="2" max="2" width="19.6640625" bestFit="1" customWidth="1"/>
    <col min="4" max="4" width="13" customWidth="1"/>
    <col min="5" max="6" width="12.1640625" bestFit="1" customWidth="1"/>
  </cols>
  <sheetData>
    <row r="1" spans="2:6" ht="11.25" customHeight="1" thickBot="1"/>
    <row r="2" spans="2:6" ht="14.5" customHeight="1" thickBot="1">
      <c r="B2" s="221" t="s">
        <v>101</v>
      </c>
      <c r="C2" s="222"/>
      <c r="D2" s="222"/>
      <c r="E2" s="222"/>
      <c r="F2" s="223"/>
    </row>
    <row r="3" spans="2:6" ht="17" thickBot="1">
      <c r="B3" s="123"/>
      <c r="C3" s="125" t="s">
        <v>51</v>
      </c>
      <c r="D3" s="125" t="s">
        <v>98</v>
      </c>
      <c r="E3" s="125" t="s">
        <v>99</v>
      </c>
      <c r="F3" s="126" t="s">
        <v>27</v>
      </c>
    </row>
    <row r="4" spans="2:6">
      <c r="B4" s="181" t="s">
        <v>95</v>
      </c>
      <c r="C4" s="20">
        <f>SUM('Sales Forecast'!$C$4:$C$8)</f>
        <v>90000</v>
      </c>
      <c r="D4" s="202"/>
      <c r="E4" s="203">
        <v>40000</v>
      </c>
      <c r="F4" s="184">
        <f>SUM(D4:E4)</f>
        <v>40000</v>
      </c>
    </row>
    <row r="5" spans="2:6">
      <c r="B5" s="198" t="s">
        <v>96</v>
      </c>
      <c r="C5" s="20">
        <f>SUM('Sales Forecast'!$C$4:$C$8)</f>
        <v>90000</v>
      </c>
      <c r="D5" s="200"/>
      <c r="E5" s="165">
        <v>80000</v>
      </c>
      <c r="F5" s="184">
        <f t="shared" ref="F5:F6" si="0">SUM(D5:E5)</f>
        <v>80000</v>
      </c>
    </row>
    <row r="6" spans="2:6">
      <c r="B6" s="199" t="s">
        <v>97</v>
      </c>
      <c r="C6" s="20">
        <f>SUM('Sales Forecast'!$C$4:$C$8)</f>
        <v>90000</v>
      </c>
      <c r="D6" s="118">
        <v>35000</v>
      </c>
      <c r="E6" s="118"/>
      <c r="F6" s="184">
        <f t="shared" si="0"/>
        <v>35000</v>
      </c>
    </row>
    <row r="7" spans="2:6" ht="16" thickBot="1">
      <c r="B7" s="10" t="s">
        <v>100</v>
      </c>
      <c r="C7" s="201"/>
      <c r="D7" s="15"/>
      <c r="E7" s="15"/>
      <c r="F7" s="184">
        <f>SUM(F4:F6)</f>
        <v>155000</v>
      </c>
    </row>
    <row r="8" spans="2:6" ht="9.75" customHeight="1" thickTop="1" thickBot="1">
      <c r="B8" s="11"/>
      <c r="C8" s="12"/>
      <c r="D8" s="12"/>
      <c r="E8" s="12"/>
      <c r="F8" s="13"/>
    </row>
  </sheetData>
  <mergeCells count="1">
    <mergeCell ref="B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H24"/>
  <sheetViews>
    <sheetView showGridLines="0" workbookViewId="0"/>
  </sheetViews>
  <sheetFormatPr baseColWidth="10" defaultColWidth="8.83203125" defaultRowHeight="15"/>
  <cols>
    <col min="1" max="1" width="0.83203125" customWidth="1"/>
    <col min="2" max="2" width="30.5" bestFit="1" customWidth="1"/>
    <col min="3" max="3" width="7.83203125" bestFit="1" customWidth="1"/>
    <col min="4" max="4" width="13.5" bestFit="1" customWidth="1"/>
    <col min="5" max="6" width="9.5" bestFit="1" customWidth="1"/>
    <col min="7" max="8" width="11" bestFit="1" customWidth="1"/>
    <col min="9" max="9" width="5.5" customWidth="1"/>
  </cols>
  <sheetData>
    <row r="1" spans="2:8" ht="11.25" customHeight="1" thickBot="1"/>
    <row r="2" spans="2:8" ht="30.75" customHeight="1" thickBot="1">
      <c r="B2" s="238" t="s">
        <v>84</v>
      </c>
      <c r="C2" s="239"/>
      <c r="D2" s="239"/>
      <c r="E2" s="239"/>
      <c r="F2" s="239"/>
      <c r="G2" s="239"/>
      <c r="H2" s="240"/>
    </row>
    <row r="3" spans="2:8" ht="16" thickBot="1">
      <c r="B3" s="168"/>
      <c r="C3" s="124" t="s">
        <v>110</v>
      </c>
      <c r="D3" s="169" t="s">
        <v>77</v>
      </c>
      <c r="E3" s="170" t="s">
        <v>78</v>
      </c>
      <c r="F3" s="170" t="s">
        <v>79</v>
      </c>
      <c r="G3" s="170" t="s">
        <v>80</v>
      </c>
      <c r="H3" s="171" t="s">
        <v>81</v>
      </c>
    </row>
    <row r="4" spans="2:8">
      <c r="B4" s="141" t="s">
        <v>51</v>
      </c>
      <c r="C4" s="127"/>
      <c r="D4" s="166">
        <v>20000</v>
      </c>
      <c r="E4" s="166">
        <f>$D$4+($D$4*E3)</f>
        <v>16000</v>
      </c>
      <c r="F4" s="166">
        <f t="shared" ref="F4:H4" si="0">$D$4+($D$4*F3)</f>
        <v>18000</v>
      </c>
      <c r="G4" s="166">
        <f t="shared" si="0"/>
        <v>22000</v>
      </c>
      <c r="H4" s="172">
        <f t="shared" si="0"/>
        <v>24000</v>
      </c>
    </row>
    <row r="5" spans="2:8">
      <c r="B5" s="109" t="s">
        <v>45</v>
      </c>
      <c r="C5" s="97">
        <v>50</v>
      </c>
      <c r="D5" s="167">
        <f>D4*$C$5</f>
        <v>1000000</v>
      </c>
      <c r="E5" s="167">
        <f t="shared" ref="E5:H5" si="1">E4*$C$5</f>
        <v>800000</v>
      </c>
      <c r="F5" s="167">
        <f t="shared" si="1"/>
        <v>900000</v>
      </c>
      <c r="G5" s="167">
        <f t="shared" si="1"/>
        <v>1100000</v>
      </c>
      <c r="H5" s="173">
        <f t="shared" si="1"/>
        <v>1200000</v>
      </c>
    </row>
    <row r="6" spans="2:8">
      <c r="B6" s="109" t="s">
        <v>113</v>
      </c>
      <c r="C6" s="97"/>
      <c r="D6" s="167"/>
      <c r="E6" s="167"/>
      <c r="F6" s="167"/>
      <c r="G6" s="167"/>
      <c r="H6" s="173"/>
    </row>
    <row r="7" spans="2:8">
      <c r="B7" s="109" t="s">
        <v>82</v>
      </c>
      <c r="C7" s="97">
        <v>8</v>
      </c>
      <c r="D7" s="167">
        <f>D4*$C$7</f>
        <v>160000</v>
      </c>
      <c r="E7" s="167">
        <f t="shared" ref="E7:H7" si="2">E4*$C$7</f>
        <v>128000</v>
      </c>
      <c r="F7" s="167">
        <f t="shared" si="2"/>
        <v>144000</v>
      </c>
      <c r="G7" s="167">
        <f t="shared" si="2"/>
        <v>176000</v>
      </c>
      <c r="H7" s="173">
        <f t="shared" si="2"/>
        <v>192000</v>
      </c>
    </row>
    <row r="8" spans="2:8">
      <c r="B8" s="109" t="s">
        <v>83</v>
      </c>
      <c r="C8" s="97">
        <v>4</v>
      </c>
      <c r="D8" s="167">
        <f>D4*$C$8</f>
        <v>80000</v>
      </c>
      <c r="E8" s="167">
        <f t="shared" ref="E8:H8" si="3">E4*$C$8</f>
        <v>64000</v>
      </c>
      <c r="F8" s="167">
        <f t="shared" si="3"/>
        <v>72000</v>
      </c>
      <c r="G8" s="167">
        <f t="shared" si="3"/>
        <v>88000</v>
      </c>
      <c r="H8" s="173">
        <f t="shared" si="3"/>
        <v>96000</v>
      </c>
    </row>
    <row r="9" spans="2:8">
      <c r="B9" s="109" t="s">
        <v>114</v>
      </c>
      <c r="C9" s="97">
        <v>2.5</v>
      </c>
      <c r="D9" s="167">
        <f>D4*$C$9</f>
        <v>50000</v>
      </c>
      <c r="E9" s="167">
        <f t="shared" ref="E9:H9" si="4">E4*$C$9</f>
        <v>40000</v>
      </c>
      <c r="F9" s="167">
        <f t="shared" si="4"/>
        <v>45000</v>
      </c>
      <c r="G9" s="167">
        <f t="shared" si="4"/>
        <v>55000</v>
      </c>
      <c r="H9" s="173">
        <f t="shared" si="4"/>
        <v>60000</v>
      </c>
    </row>
    <row r="10" spans="2:8">
      <c r="B10" s="109" t="s">
        <v>115</v>
      </c>
      <c r="C10" s="97">
        <v>2.25</v>
      </c>
      <c r="D10" s="167">
        <f>D4*$C$10</f>
        <v>45000</v>
      </c>
      <c r="E10" s="167">
        <f t="shared" ref="E10:H10" si="5">E4*$C$10</f>
        <v>36000</v>
      </c>
      <c r="F10" s="167">
        <f t="shared" si="5"/>
        <v>40500</v>
      </c>
      <c r="G10" s="167">
        <f t="shared" si="5"/>
        <v>49500</v>
      </c>
      <c r="H10" s="173">
        <f t="shared" si="5"/>
        <v>54000</v>
      </c>
    </row>
    <row r="11" spans="2:8">
      <c r="B11" s="109" t="s">
        <v>116</v>
      </c>
      <c r="C11" s="97">
        <v>16.75</v>
      </c>
      <c r="D11" s="167">
        <f>D4*$C$11</f>
        <v>335000</v>
      </c>
      <c r="E11" s="167">
        <f t="shared" ref="E11:H11" si="6">E4*$C$11</f>
        <v>268000</v>
      </c>
      <c r="F11" s="167">
        <f t="shared" si="6"/>
        <v>301500</v>
      </c>
      <c r="G11" s="167">
        <f t="shared" si="6"/>
        <v>368500</v>
      </c>
      <c r="H11" s="173">
        <f t="shared" si="6"/>
        <v>402000</v>
      </c>
    </row>
    <row r="12" spans="2:8">
      <c r="B12" s="109" t="s">
        <v>117</v>
      </c>
      <c r="C12" s="94"/>
      <c r="D12" s="167">
        <f>D5-D11</f>
        <v>665000</v>
      </c>
      <c r="E12" s="167">
        <f t="shared" ref="E12:H12" si="7">E5-E11</f>
        <v>532000</v>
      </c>
      <c r="F12" s="167">
        <f t="shared" si="7"/>
        <v>598500</v>
      </c>
      <c r="G12" s="167">
        <f t="shared" si="7"/>
        <v>731500</v>
      </c>
      <c r="H12" s="173">
        <f t="shared" si="7"/>
        <v>798000</v>
      </c>
    </row>
    <row r="13" spans="2:8">
      <c r="B13" s="109" t="s">
        <v>118</v>
      </c>
      <c r="C13" s="94"/>
      <c r="D13" s="167"/>
      <c r="E13" s="167"/>
      <c r="F13" s="167"/>
      <c r="G13" s="167"/>
      <c r="H13" s="173"/>
    </row>
    <row r="14" spans="2:8">
      <c r="B14" s="109" t="s">
        <v>111</v>
      </c>
      <c r="C14" s="94" t="s">
        <v>99</v>
      </c>
      <c r="D14" s="167">
        <v>100000</v>
      </c>
      <c r="E14" s="167">
        <v>100000</v>
      </c>
      <c r="F14" s="167">
        <v>100000</v>
      </c>
      <c r="G14" s="167">
        <v>100000</v>
      </c>
      <c r="H14" s="173">
        <v>100000</v>
      </c>
    </row>
    <row r="15" spans="2:8">
      <c r="B15" s="109" t="s">
        <v>112</v>
      </c>
      <c r="C15" s="94" t="s">
        <v>99</v>
      </c>
      <c r="D15" s="167">
        <v>50000</v>
      </c>
      <c r="E15" s="167">
        <v>50000</v>
      </c>
      <c r="F15" s="167">
        <v>50000</v>
      </c>
      <c r="G15" s="167">
        <v>50000</v>
      </c>
      <c r="H15" s="173">
        <v>50000</v>
      </c>
    </row>
    <row r="16" spans="2:8">
      <c r="B16" s="109" t="s">
        <v>119</v>
      </c>
      <c r="C16" s="94"/>
      <c r="D16" s="167">
        <f>SUM(D14:D15)</f>
        <v>150000</v>
      </c>
      <c r="E16" s="167">
        <f t="shared" ref="E16:H16" si="8">SUM(E14:E15)</f>
        <v>150000</v>
      </c>
      <c r="F16" s="167">
        <f t="shared" si="8"/>
        <v>150000</v>
      </c>
      <c r="G16" s="167">
        <f t="shared" si="8"/>
        <v>150000</v>
      </c>
      <c r="H16" s="173">
        <f t="shared" si="8"/>
        <v>150000</v>
      </c>
    </row>
    <row r="17" spans="2:8">
      <c r="B17" s="109" t="s">
        <v>50</v>
      </c>
      <c r="C17" s="94"/>
      <c r="D17" s="167">
        <f>D12-D16</f>
        <v>515000</v>
      </c>
      <c r="E17" s="167">
        <f t="shared" ref="E17:H17" si="9">E12-E16</f>
        <v>382000</v>
      </c>
      <c r="F17" s="167">
        <f t="shared" si="9"/>
        <v>448500</v>
      </c>
      <c r="G17" s="167">
        <f t="shared" si="9"/>
        <v>581500</v>
      </c>
      <c r="H17" s="173">
        <f t="shared" si="9"/>
        <v>648000</v>
      </c>
    </row>
    <row r="18" spans="2:8" ht="16" thickBot="1">
      <c r="B18" s="11"/>
      <c r="C18" s="12"/>
      <c r="D18" s="83"/>
      <c r="E18" s="12"/>
      <c r="F18" s="12"/>
      <c r="G18" s="12"/>
      <c r="H18" s="13"/>
    </row>
    <row r="24" spans="2:8">
      <c r="F24" s="42"/>
    </row>
  </sheetData>
  <mergeCells count="1">
    <mergeCell ref="B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B1:F25"/>
  <sheetViews>
    <sheetView showGridLines="0" workbookViewId="0"/>
  </sheetViews>
  <sheetFormatPr baseColWidth="10" defaultColWidth="8.83203125" defaultRowHeight="15" outlineLevelRow="1" outlineLevelCol="1"/>
  <cols>
    <col min="3" max="3" width="5.1640625" bestFit="1" customWidth="1"/>
    <col min="4" max="4" width="33" bestFit="1" customWidth="1" outlineLevel="1"/>
    <col min="5" max="5" width="33" customWidth="1" outlineLevel="1"/>
    <col min="6" max="6" width="33" bestFit="1" customWidth="1" outlineLevel="1"/>
  </cols>
  <sheetData>
    <row r="1" spans="2:6" ht="16" thickBot="1"/>
    <row r="2" spans="2:6" ht="16">
      <c r="B2" s="38" t="s">
        <v>54</v>
      </c>
      <c r="C2" s="38"/>
      <c r="D2" s="26"/>
      <c r="E2" s="26"/>
      <c r="F2" s="26"/>
    </row>
    <row r="3" spans="2:6" ht="16" collapsed="1">
      <c r="B3" s="37"/>
      <c r="C3" s="37"/>
      <c r="D3" s="27" t="s">
        <v>56</v>
      </c>
      <c r="E3" s="27" t="s">
        <v>70</v>
      </c>
      <c r="F3" s="27" t="s">
        <v>76</v>
      </c>
    </row>
    <row r="4" spans="2:6" hidden="1" outlineLevel="1">
      <c r="B4" s="39"/>
      <c r="C4" s="39"/>
      <c r="E4" s="29" t="s">
        <v>71</v>
      </c>
      <c r="F4" s="29" t="s">
        <v>71</v>
      </c>
    </row>
    <row r="5" spans="2:6">
      <c r="B5" s="40" t="s">
        <v>55</v>
      </c>
      <c r="C5" s="40"/>
      <c r="D5" s="22"/>
      <c r="E5" s="22"/>
      <c r="F5" s="22"/>
    </row>
    <row r="6" spans="2:6" outlineLevel="1">
      <c r="B6" s="39"/>
      <c r="C6" s="39" t="s">
        <v>61</v>
      </c>
      <c r="D6" s="20">
        <v>18000</v>
      </c>
      <c r="E6" s="30">
        <v>16200</v>
      </c>
      <c r="F6" s="20">
        <v>18000</v>
      </c>
    </row>
    <row r="7" spans="2:6" outlineLevel="1">
      <c r="B7" s="39"/>
      <c r="C7" s="39" t="s">
        <v>65</v>
      </c>
      <c r="D7" s="20">
        <v>13000</v>
      </c>
      <c r="E7" s="30">
        <v>11700</v>
      </c>
      <c r="F7" s="20">
        <v>13000</v>
      </c>
    </row>
    <row r="8" spans="2:6" outlineLevel="1">
      <c r="B8" s="39"/>
      <c r="C8" s="39" t="s">
        <v>66</v>
      </c>
      <c r="D8" s="20">
        <v>25000</v>
      </c>
      <c r="E8" s="30">
        <v>22500</v>
      </c>
      <c r="F8" s="20">
        <v>25000</v>
      </c>
    </row>
    <row r="9" spans="2:6" outlineLevel="1">
      <c r="B9" s="39"/>
      <c r="C9" s="39" t="s">
        <v>67</v>
      </c>
      <c r="D9" s="20">
        <v>22000</v>
      </c>
      <c r="E9" s="30">
        <v>19800</v>
      </c>
      <c r="F9" s="20">
        <v>22000</v>
      </c>
    </row>
    <row r="10" spans="2:6" outlineLevel="1">
      <c r="B10" s="39"/>
      <c r="C10" s="39" t="s">
        <v>68</v>
      </c>
      <c r="D10" s="20">
        <v>30000</v>
      </c>
      <c r="E10" s="30">
        <v>27000</v>
      </c>
      <c r="F10" s="20">
        <v>30000</v>
      </c>
    </row>
    <row r="11" spans="2:6" outlineLevel="1">
      <c r="B11" s="39"/>
      <c r="C11" s="39" t="s">
        <v>62</v>
      </c>
      <c r="D11" s="17">
        <v>21.87</v>
      </c>
      <c r="E11" s="17">
        <v>21.87</v>
      </c>
      <c r="F11" s="28">
        <v>19.899999999999999</v>
      </c>
    </row>
    <row r="12" spans="2:6" outlineLevel="1">
      <c r="B12" s="39"/>
      <c r="C12" s="39" t="s">
        <v>72</v>
      </c>
      <c r="D12" s="17">
        <v>22.12</v>
      </c>
      <c r="E12" s="17">
        <v>22.12</v>
      </c>
      <c r="F12" s="28">
        <v>21.9</v>
      </c>
    </row>
    <row r="13" spans="2:6" outlineLevel="1">
      <c r="B13" s="39"/>
      <c r="C13" s="39" t="s">
        <v>73</v>
      </c>
      <c r="D13" s="17">
        <v>19.18</v>
      </c>
      <c r="E13" s="17">
        <v>19.18</v>
      </c>
      <c r="F13" s="28">
        <v>18.989999999999998</v>
      </c>
    </row>
    <row r="14" spans="2:6" outlineLevel="1">
      <c r="B14" s="39"/>
      <c r="C14" s="39" t="s">
        <v>74</v>
      </c>
      <c r="D14" s="17">
        <v>17.559999999999999</v>
      </c>
      <c r="E14" s="17">
        <v>17.559999999999999</v>
      </c>
      <c r="F14" s="28">
        <v>17.38</v>
      </c>
    </row>
    <row r="15" spans="2:6" outlineLevel="1">
      <c r="B15" s="39"/>
      <c r="C15" s="39" t="s">
        <v>75</v>
      </c>
      <c r="D15" s="17">
        <v>14.1</v>
      </c>
      <c r="E15" s="17">
        <v>14.1</v>
      </c>
      <c r="F15" s="28">
        <v>13.96</v>
      </c>
    </row>
    <row r="16" spans="2:6">
      <c r="B16" s="40" t="s">
        <v>63</v>
      </c>
      <c r="C16" s="40"/>
      <c r="D16" s="22"/>
      <c r="E16" s="22"/>
      <c r="F16" s="22"/>
    </row>
    <row r="17" spans="2:6" ht="16" outlineLevel="1" thickBot="1">
      <c r="B17" s="41"/>
      <c r="C17" s="41" t="s">
        <v>69</v>
      </c>
      <c r="D17" s="31">
        <v>415870</v>
      </c>
      <c r="E17" s="31">
        <v>374283</v>
      </c>
      <c r="F17" s="31">
        <v>467100</v>
      </c>
    </row>
    <row r="18" spans="2:6">
      <c r="B18" t="s">
        <v>57</v>
      </c>
    </row>
    <row r="19" spans="2:6">
      <c r="B19" t="s">
        <v>58</v>
      </c>
    </row>
    <row r="20" spans="2:6">
      <c r="B20" t="s">
        <v>59</v>
      </c>
    </row>
    <row r="23" spans="2:6">
      <c r="E23" s="17">
        <f>(D17-E17)/D17</f>
        <v>0.1</v>
      </c>
    </row>
    <row r="25" spans="2:6">
      <c r="E25" s="17">
        <f>(D17-F17)/D17</f>
        <v>-0.12318753456609037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C12"/>
  <sheetViews>
    <sheetView showGridLines="0" tabSelected="1" zoomScale="132" workbookViewId="0">
      <selection activeCell="E10" sqref="E10"/>
    </sheetView>
  </sheetViews>
  <sheetFormatPr baseColWidth="10" defaultColWidth="8.83203125" defaultRowHeight="15"/>
  <cols>
    <col min="1" max="1" width="0.83203125" customWidth="1"/>
    <col min="2" max="2" width="28.5" customWidth="1"/>
    <col min="3" max="3" width="13.5" bestFit="1" customWidth="1"/>
  </cols>
  <sheetData>
    <row r="1" spans="2:3" ht="11.25" customHeight="1" thickBot="1"/>
    <row r="2" spans="2:3" ht="19" customHeight="1" thickBot="1">
      <c r="B2" s="213" t="s">
        <v>44</v>
      </c>
      <c r="C2" s="214"/>
    </row>
    <row r="3" spans="2:3">
      <c r="B3" s="52"/>
      <c r="C3" s="53"/>
    </row>
    <row r="4" spans="2:3">
      <c r="B4" s="109" t="s">
        <v>45</v>
      </c>
      <c r="C4" s="163">
        <f>'Sales Forecast'!E10</f>
        <v>3146600</v>
      </c>
    </row>
    <row r="5" spans="2:3">
      <c r="B5" s="208" t="s">
        <v>42</v>
      </c>
      <c r="C5" s="82">
        <v>2918470</v>
      </c>
    </row>
    <row r="6" spans="2:3">
      <c r="B6" s="209" t="s">
        <v>46</v>
      </c>
      <c r="C6" s="162">
        <f>C4-C5</f>
        <v>228130</v>
      </c>
    </row>
    <row r="7" spans="2:3">
      <c r="B7" s="109" t="s">
        <v>47</v>
      </c>
      <c r="C7" s="46" t="s">
        <v>155</v>
      </c>
    </row>
    <row r="8" spans="2:3">
      <c r="B8" s="164" t="s">
        <v>102</v>
      </c>
      <c r="C8" s="163">
        <f>'Non-Manufacturing Costs'!F4</f>
        <v>40000</v>
      </c>
    </row>
    <row r="9" spans="2:3">
      <c r="B9" s="164" t="s">
        <v>48</v>
      </c>
      <c r="C9" s="163">
        <f>'Non-Manufacturing Costs'!F5</f>
        <v>80000</v>
      </c>
    </row>
    <row r="10" spans="2:3">
      <c r="B10" s="206" t="s">
        <v>49</v>
      </c>
      <c r="C10" s="204">
        <f>'Non-Manufacturing Costs'!F6</f>
        <v>35000</v>
      </c>
    </row>
    <row r="11" spans="2:3" ht="16" thickBot="1">
      <c r="B11" s="207" t="s">
        <v>50</v>
      </c>
      <c r="C11" s="205">
        <f>C6-(SUM(C8:C10))</f>
        <v>73130</v>
      </c>
    </row>
    <row r="12" spans="2:3" ht="17" thickTop="1" thickBot="1">
      <c r="B12" s="11"/>
      <c r="C12" s="13"/>
    </row>
  </sheetData>
  <mergeCells count="1">
    <mergeCell ref="B2: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H10"/>
  <sheetViews>
    <sheetView showGridLines="0" workbookViewId="0"/>
  </sheetViews>
  <sheetFormatPr baseColWidth="10" defaultColWidth="8.83203125" defaultRowHeight="15"/>
  <cols>
    <col min="1" max="1" width="0.83203125" customWidth="1"/>
    <col min="2" max="2" width="15.5" bestFit="1" customWidth="1"/>
    <col min="3" max="3" width="9.5" bestFit="1" customWidth="1"/>
    <col min="4" max="4" width="9.83203125" bestFit="1" customWidth="1"/>
    <col min="5" max="5" width="18.5" bestFit="1" customWidth="1"/>
    <col min="6" max="6" width="15.33203125" bestFit="1" customWidth="1"/>
    <col min="7" max="7" width="25.1640625" bestFit="1" customWidth="1"/>
    <col min="8" max="8" width="10.5" bestFit="1" customWidth="1"/>
    <col min="9" max="9" width="12" bestFit="1" customWidth="1"/>
    <col min="10" max="10" width="9.83203125" bestFit="1" customWidth="1"/>
    <col min="11" max="11" width="15.5" bestFit="1" customWidth="1"/>
    <col min="12" max="12" width="10.5" bestFit="1" customWidth="1"/>
    <col min="13" max="13" width="14.5" bestFit="1" customWidth="1"/>
    <col min="14" max="14" width="12" bestFit="1" customWidth="1"/>
    <col min="15" max="15" width="9.83203125" bestFit="1" customWidth="1"/>
    <col min="16" max="16" width="15.5" bestFit="1" customWidth="1"/>
    <col min="17" max="17" width="12.1640625" bestFit="1" customWidth="1"/>
    <col min="18" max="18" width="14.5" bestFit="1" customWidth="1"/>
    <col min="19" max="19" width="12" bestFit="1" customWidth="1"/>
    <col min="20" max="20" width="12.1640625" bestFit="1" customWidth="1"/>
    <col min="21" max="21" width="15.5" bestFit="1" customWidth="1"/>
    <col min="22" max="22" width="12.1640625" bestFit="1" customWidth="1"/>
  </cols>
  <sheetData>
    <row r="1" spans="2:8" ht="11.25" customHeight="1" thickBot="1"/>
    <row r="2" spans="2:8" ht="14.5" customHeight="1" thickBot="1">
      <c r="B2" s="221" t="s">
        <v>44</v>
      </c>
      <c r="C2" s="222"/>
      <c r="D2" s="222"/>
      <c r="E2" s="222"/>
      <c r="F2" s="222"/>
      <c r="G2" s="223"/>
      <c r="H2" s="32"/>
    </row>
    <row r="3" spans="2:8" ht="16" thickBot="1">
      <c r="B3" s="168"/>
      <c r="C3" s="124" t="s">
        <v>51</v>
      </c>
      <c r="D3" s="124" t="s">
        <v>52</v>
      </c>
      <c r="E3" s="124" t="s">
        <v>53</v>
      </c>
      <c r="F3" s="124" t="s">
        <v>64</v>
      </c>
      <c r="G3" s="149" t="s">
        <v>60</v>
      </c>
    </row>
    <row r="4" spans="2:8">
      <c r="B4" s="141" t="s">
        <v>0</v>
      </c>
      <c r="C4" s="130"/>
      <c r="D4" s="129"/>
      <c r="E4" s="157"/>
      <c r="F4" s="176"/>
      <c r="G4" s="131"/>
    </row>
    <row r="5" spans="2:8">
      <c r="B5" s="109" t="s">
        <v>1</v>
      </c>
      <c r="C5" s="113"/>
      <c r="D5" s="112"/>
      <c r="E5" s="95"/>
      <c r="F5" s="174"/>
      <c r="G5" s="132"/>
    </row>
    <row r="6" spans="2:8">
      <c r="B6" s="109" t="s">
        <v>2</v>
      </c>
      <c r="C6" s="113"/>
      <c r="D6" s="112"/>
      <c r="E6" s="95"/>
      <c r="F6" s="174"/>
      <c r="G6" s="132"/>
    </row>
    <row r="7" spans="2:8">
      <c r="B7" s="109" t="s">
        <v>3</v>
      </c>
      <c r="C7" s="113"/>
      <c r="D7" s="112"/>
      <c r="E7" s="95"/>
      <c r="F7" s="174"/>
      <c r="G7" s="132"/>
    </row>
    <row r="8" spans="2:8">
      <c r="B8" s="108" t="s">
        <v>4</v>
      </c>
      <c r="C8" s="117"/>
      <c r="D8" s="116"/>
      <c r="E8" s="118"/>
      <c r="F8" s="175"/>
      <c r="G8" s="133"/>
    </row>
    <row r="9" spans="2:8" ht="16" thickBot="1">
      <c r="B9" s="9"/>
      <c r="G9" s="67">
        <f>SUM(G4:G8)</f>
        <v>0</v>
      </c>
    </row>
    <row r="10" spans="2:8" ht="8.25" customHeight="1" thickTop="1" thickBot="1">
      <c r="B10" s="11"/>
      <c r="C10" s="12"/>
      <c r="D10" s="12"/>
      <c r="E10" s="12"/>
      <c r="F10" s="12"/>
      <c r="G10" s="13"/>
    </row>
  </sheetData>
  <scenarios current="0" sqref="F9">
    <scenario name="Scenario 1 - 10% Sales Decrease" locked="1" count="5" user="Margaret Christ" comment="Created by Heartwood Management Accountants">
      <inputCells r="C4" val="16200" numFmtId="164"/>
      <inputCells r="C5" val="11700" numFmtId="164"/>
      <inputCells r="C6" val="22500" numFmtId="164"/>
      <inputCells r="C7" val="19800" numFmtId="164"/>
      <inputCells r="C8" val="27000" numFmtId="164"/>
    </scenario>
    <scenario name="Scenario 2 - Direct Materials 1% Discount" locked="1" count="5" user="Margaret Christ" comment="Created by Heartwood Management Accountants">
      <inputCells r="E4" val="19.9" numFmtId="44"/>
      <inputCells r="E5" val="21.9" numFmtId="44"/>
      <inputCells r="E6" val="18.99" numFmtId="44"/>
      <inputCells r="E7" val="17.38" numFmtId="44"/>
      <inputCells r="E8" val="13.96" numFmtId="44"/>
    </scenario>
  </scenarios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43ed19-8a93-4788-96ed-edb304ede95a">
      <Terms xmlns="http://schemas.microsoft.com/office/infopath/2007/PartnerControls"/>
    </lcf76f155ced4ddcb4097134ff3c332f>
    <TaxCatchAll xmlns="91ab924b-58b3-436d-bb0d-cd35bb1cdd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A4EFF880BA234F9740311115ACF210" ma:contentTypeVersion="15" ma:contentTypeDescription="Create a new document." ma:contentTypeScope="" ma:versionID="e311bb3b41077207d38cf6e77f86d837">
  <xsd:schema xmlns:xsd="http://www.w3.org/2001/XMLSchema" xmlns:xs="http://www.w3.org/2001/XMLSchema" xmlns:p="http://schemas.microsoft.com/office/2006/metadata/properties" xmlns:ns2="91ab924b-58b3-436d-bb0d-cd35bb1cdd5e" xmlns:ns3="2343ed19-8a93-4788-96ed-edb304ede95a" targetNamespace="http://schemas.microsoft.com/office/2006/metadata/properties" ma:root="true" ma:fieldsID="b2aab87beb53bfe760bc8ef585e78a7f" ns2:_="" ns3:_="">
    <xsd:import namespace="91ab924b-58b3-436d-bb0d-cd35bb1cdd5e"/>
    <xsd:import namespace="2343ed19-8a93-4788-96ed-edb304ede9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b924b-58b3-436d-bb0d-cd35bb1cd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f34b32d-85c7-4345-8769-16b1bd29a990}" ma:internalName="TaxCatchAll" ma:showField="CatchAllData" ma:web="91ab924b-58b3-436d-bb0d-cd35bb1cd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3ed19-8a93-4788-96ed-edb304ede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19F6E2-8183-45B5-83A8-D905674895BD}">
  <ds:schemaRefs>
    <ds:schemaRef ds:uri="91ab924b-58b3-436d-bb0d-cd35bb1cdd5e"/>
    <ds:schemaRef ds:uri="http://schemas.microsoft.com/office/2006/documentManagement/types"/>
    <ds:schemaRef ds:uri="http://schemas.microsoft.com/office/infopath/2007/PartnerControls"/>
    <ds:schemaRef ds:uri="2343ed19-8a93-4788-96ed-edb304ede95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F170C2-C042-4F1C-84AD-65F84070B1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6FF03-9BF3-48DE-88FA-0D2B50931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b924b-58b3-436d-bb0d-cd35bb1cdd5e"/>
    <ds:schemaRef ds:uri="2343ed19-8a93-4788-96ed-edb304ede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Sales Forecast</vt:lpstr>
      <vt:lpstr>Production Budget Calc</vt:lpstr>
      <vt:lpstr>Production Budget</vt:lpstr>
      <vt:lpstr>Beginning Inventories Budget</vt:lpstr>
      <vt:lpstr>BOM</vt:lpstr>
      <vt:lpstr>Direct Materials Budget - Arch</vt:lpstr>
      <vt:lpstr>Direct MaterialsBudget - All</vt:lpstr>
      <vt:lpstr>Route Sheet &amp; Labor Cost- Arch</vt:lpstr>
      <vt:lpstr>Labor Cost- All</vt:lpstr>
      <vt:lpstr>Overhead</vt:lpstr>
      <vt:lpstr>Ending Inventories Budget</vt:lpstr>
      <vt:lpstr>COGS Budget</vt:lpstr>
      <vt:lpstr>Non-Manufacturing Costs</vt:lpstr>
      <vt:lpstr>Flexible Budget</vt:lpstr>
      <vt:lpstr>Scenario Summary</vt:lpstr>
      <vt:lpstr>Pro Forma Income Statement</vt:lpstr>
      <vt:lpstr>Pro Forma Operating Income Stmt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Christ</dc:creator>
  <cp:lastModifiedBy>Hengjun Ji</cp:lastModifiedBy>
  <dcterms:created xsi:type="dcterms:W3CDTF">2021-09-28T00:03:56Z</dcterms:created>
  <dcterms:modified xsi:type="dcterms:W3CDTF">2026-03-19T03:46:53Z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0x01010011A4EFF880BA234F9740311115ACF210</vt:lpwstr>
  </property>
</Properties>
</file>