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hengjun/Downloads/"/>
    </mc:Choice>
  </mc:AlternateContent>
  <xr:revisionPtr revIDLastSave="0" documentId="8_{5150B0AC-E2BB-CD40-9FCF-F2BA90AA32E9}" xr6:coauthVersionLast="47" xr6:coauthVersionMax="47" xr10:uidLastSave="{00000000-0000-0000-0000-000000000000}"/>
  <bookViews>
    <workbookView xWindow="0" yWindow="660" windowWidth="30240" windowHeight="18980" xr2:uid="{8B82317F-FB91-4965-8F7C-3D1B4E84FE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C21" i="1"/>
  <c r="E21" i="1"/>
  <c r="E22" i="1"/>
  <c r="D22" i="1" s="1"/>
  <c r="E23" i="1"/>
  <c r="D23" i="1" s="1"/>
  <c r="E20" i="1"/>
  <c r="D20" i="1" s="1"/>
  <c r="C24" i="1"/>
  <c r="C20" i="1"/>
  <c r="B24" i="1"/>
  <c r="B23" i="1"/>
  <c r="B22" i="1"/>
  <c r="B21" i="1"/>
  <c r="B20" i="1"/>
  <c r="D24" i="1"/>
  <c r="E13" i="1"/>
  <c r="E14" i="1"/>
  <c r="E15" i="1"/>
  <c r="E12" i="1"/>
  <c r="E16" i="1" s="1"/>
  <c r="I6" i="1"/>
  <c r="I5" i="1"/>
  <c r="H4" i="1"/>
  <c r="H5" i="1"/>
  <c r="H6" i="1"/>
  <c r="H3" i="1"/>
  <c r="F16" i="1"/>
  <c r="D13" i="1"/>
  <c r="D14" i="1"/>
  <c r="D15" i="1"/>
  <c r="I7" i="1"/>
  <c r="I4" i="1"/>
  <c r="I3" i="1"/>
  <c r="D12" i="1"/>
  <c r="G7" i="1"/>
  <c r="G4" i="1"/>
  <c r="G5" i="1"/>
  <c r="G6" i="1"/>
  <c r="G3" i="1"/>
  <c r="A12" i="1"/>
  <c r="C14" i="1" s="1"/>
  <c r="C7" i="1"/>
  <c r="C13" i="1" l="1"/>
  <c r="D16" i="1"/>
  <c r="E24" i="1"/>
  <c r="F24" i="1" s="1"/>
  <c r="C15" i="1"/>
  <c r="C12" i="1"/>
  <c r="C16" i="1" s="1"/>
  <c r="D21" i="1"/>
</calcChain>
</file>

<file path=xl/sharedStrings.xml><?xml version="1.0" encoding="utf-8"?>
<sst xmlns="http://schemas.openxmlformats.org/spreadsheetml/2006/main" count="37" uniqueCount="25">
  <si>
    <t>Total</t>
  </si>
  <si>
    <t>Joint Costs</t>
  </si>
  <si>
    <t xml:space="preserve">Joint Products </t>
  </si>
  <si>
    <t>Quantity</t>
  </si>
  <si>
    <t>AS IS Selling price/unit</t>
  </si>
  <si>
    <t>Separable Costs/unit</t>
  </si>
  <si>
    <t>Processed Selling price/unit</t>
  </si>
  <si>
    <t>FAS</t>
  </si>
  <si>
    <t>SEL</t>
  </si>
  <si>
    <t>1C</t>
  </si>
  <si>
    <t>2C</t>
  </si>
  <si>
    <t xml:space="preserve">Total </t>
  </si>
  <si>
    <t>Allocation Amount</t>
  </si>
  <si>
    <t>Physical Units</t>
  </si>
  <si>
    <t>Sales Value at Split-off</t>
  </si>
  <si>
    <t>Net Realizable Value</t>
  </si>
  <si>
    <t>Constant Gross Margin Method</t>
  </si>
  <si>
    <t>Revenue</t>
  </si>
  <si>
    <t>Separable Costs</t>
  </si>
  <si>
    <t>Gross Profit</t>
  </si>
  <si>
    <t>Gross Margin</t>
  </si>
  <si>
    <t>Nov. 15 Summary Information</t>
  </si>
  <si>
    <t xml:space="preserve">Selling value at split of point </t>
  </si>
  <si>
    <t xml:space="preserve">process furuther or not </t>
  </si>
  <si>
    <t>NRV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</si>
</sst>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wrapText="1"/>
    </xf>
    <xf numFmtId="0" fontId="3" fillId="0" borderId="0" xfId="0" applyFont="1"/>
    <xf numFmtId="44" fontId="0" fillId="2" borderId="0" xfId="1" applyFont="1" applyFill="1"/>
    <xf numFmtId="43" fontId="0" fillId="0" borderId="0" xfId="2" applyFont="1" applyBorder="1"/>
    <xf numFmtId="8" fontId="0" fillId="0" borderId="0" xfId="0" applyNumberFormat="1"/>
    <xf numFmtId="43" fontId="0" fillId="0" borderId="1" xfId="0" applyNumberFormat="1" applyBorder="1"/>
    <xf numFmtId="0" fontId="2" fillId="0" borderId="0" xfId="0" applyFont="1" applyAlignment="1">
      <alignment wrapText="1"/>
    </xf>
    <xf numFmtId="44" fontId="2" fillId="0" borderId="0" xfId="0" applyNumberFormat="1" applyFont="1"/>
    <xf numFmtId="44" fontId="0" fillId="0" borderId="0" xfId="0" applyNumberFormat="1"/>
    <xf numFmtId="0" fontId="0" fillId="0" borderId="1" xfId="0" applyBorder="1"/>
    <xf numFmtId="10" fontId="0" fillId="0" borderId="0" xfId="3" applyNumberFormat="1" applyFont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64F5A-F153-4CFD-B531-B99660F1590D}">
  <dimension ref="A1:I24"/>
  <sheetViews>
    <sheetView tabSelected="1" zoomScale="130" zoomScaleNormal="130" workbookViewId="0">
      <selection activeCell="I3" sqref="I3"/>
    </sheetView>
  </sheetViews>
  <sheetFormatPr baseColWidth="10" defaultColWidth="8.83203125" defaultRowHeight="15" x14ac:dyDescent="0.2"/>
  <cols>
    <col min="1" max="1" width="14.5" style="1" customWidth="1"/>
    <col min="2" max="2" width="17.6640625" bestFit="1" customWidth="1"/>
    <col min="3" max="3" width="12.83203125" bestFit="1" customWidth="1"/>
    <col min="4" max="4" width="13.6640625" customWidth="1"/>
    <col min="5" max="5" width="13.33203125" bestFit="1" customWidth="1"/>
    <col min="6" max="6" width="15.83203125" bestFit="1" customWidth="1"/>
    <col min="7" max="7" width="22.33203125" customWidth="1"/>
    <col min="8" max="8" width="12.83203125" bestFit="1" customWidth="1"/>
    <col min="9" max="9" width="11.6640625" bestFit="1" customWidth="1"/>
  </cols>
  <sheetData>
    <row r="1" spans="1:9" ht="16" x14ac:dyDescent="0.2">
      <c r="A1" s="3" t="s">
        <v>21</v>
      </c>
    </row>
    <row r="2" spans="1:9" ht="48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22</v>
      </c>
      <c r="H2" s="2" t="s">
        <v>23</v>
      </c>
      <c r="I2" s="2" t="s">
        <v>24</v>
      </c>
    </row>
    <row r="3" spans="1:9" x14ac:dyDescent="0.2">
      <c r="A3" s="4">
        <f>520000-1400</f>
        <v>518600</v>
      </c>
      <c r="B3" t="s">
        <v>7</v>
      </c>
      <c r="C3" s="5">
        <v>12500</v>
      </c>
      <c r="D3" s="6">
        <v>16</v>
      </c>
      <c r="E3" s="6">
        <v>12.25</v>
      </c>
      <c r="F3" s="6">
        <v>31</v>
      </c>
      <c r="G3">
        <f>D3*C3</f>
        <v>200000</v>
      </c>
      <c r="H3" t="str">
        <f>IF(F3-D3&gt;E3," process further", " Sell as it ")</f>
        <v xml:space="preserve"> process further</v>
      </c>
      <c r="I3" s="6">
        <f>(F3-E3)*C3</f>
        <v>234375</v>
      </c>
    </row>
    <row r="4" spans="1:9" x14ac:dyDescent="0.2">
      <c r="A4"/>
      <c r="B4" t="s">
        <v>8</v>
      </c>
      <c r="C4" s="5">
        <v>17500</v>
      </c>
      <c r="D4" s="6">
        <v>12.75</v>
      </c>
      <c r="E4" s="6">
        <v>11.25</v>
      </c>
      <c r="F4" s="6">
        <v>25.5</v>
      </c>
      <c r="G4">
        <f t="shared" ref="G4:G6" si="0">D4*C4</f>
        <v>223125</v>
      </c>
      <c r="H4" t="str">
        <f t="shared" ref="H4:H6" si="1">IF(F4-D4&gt;E4," process further", " Sell as it ")</f>
        <v xml:space="preserve"> process further</v>
      </c>
      <c r="I4" s="6">
        <f t="shared" ref="I4:I6" si="2">(F4-E4)*C4</f>
        <v>249375</v>
      </c>
    </row>
    <row r="5" spans="1:9" x14ac:dyDescent="0.2">
      <c r="A5"/>
      <c r="B5" t="s">
        <v>9</v>
      </c>
      <c r="C5" s="5">
        <v>30000</v>
      </c>
      <c r="D5" s="6">
        <v>8.25</v>
      </c>
      <c r="E5" s="6">
        <v>9.5</v>
      </c>
      <c r="F5" s="6">
        <v>17.5</v>
      </c>
      <c r="G5">
        <f t="shared" si="0"/>
        <v>247500</v>
      </c>
      <c r="H5" t="str">
        <f t="shared" si="1"/>
        <v xml:space="preserve"> Sell as it </v>
      </c>
      <c r="I5" s="6">
        <f>G5</f>
        <v>247500</v>
      </c>
    </row>
    <row r="6" spans="1:9" x14ac:dyDescent="0.2">
      <c r="A6"/>
      <c r="B6" t="s">
        <v>10</v>
      </c>
      <c r="C6" s="5">
        <v>40000</v>
      </c>
      <c r="D6" s="6">
        <v>6.25</v>
      </c>
      <c r="E6" s="6">
        <v>9.5</v>
      </c>
      <c r="F6" s="6">
        <v>15.5</v>
      </c>
      <c r="G6">
        <f t="shared" si="0"/>
        <v>250000</v>
      </c>
      <c r="H6" t="str">
        <f t="shared" si="1"/>
        <v xml:space="preserve"> Sell as it </v>
      </c>
      <c r="I6" s="6">
        <f>G6</f>
        <v>250000</v>
      </c>
    </row>
    <row r="7" spans="1:9" x14ac:dyDescent="0.2">
      <c r="A7"/>
      <c r="B7" s="1" t="s">
        <v>11</v>
      </c>
      <c r="C7" s="7">
        <f>SUM(C3:C6)</f>
        <v>100000</v>
      </c>
      <c r="E7" s="6"/>
      <c r="F7" s="6"/>
      <c r="G7" s="11">
        <f>SUM(G3:G6)</f>
        <v>920625</v>
      </c>
      <c r="I7" s="6">
        <f>SUM(I3:I6)</f>
        <v>981250</v>
      </c>
    </row>
    <row r="11" spans="1:9" ht="32" x14ac:dyDescent="0.2">
      <c r="A11" s="8" t="s">
        <v>12</v>
      </c>
      <c r="B11" s="2" t="s">
        <v>2</v>
      </c>
      <c r="C11" s="8" t="s">
        <v>13</v>
      </c>
      <c r="D11" s="8" t="s">
        <v>14</v>
      </c>
      <c r="E11" s="8" t="s">
        <v>15</v>
      </c>
      <c r="F11" s="8" t="s">
        <v>16</v>
      </c>
    </row>
    <row r="12" spans="1:9" x14ac:dyDescent="0.2">
      <c r="A12" s="9">
        <f>A3</f>
        <v>518600</v>
      </c>
      <c r="B12" t="s">
        <v>7</v>
      </c>
      <c r="C12" s="10">
        <f>(C3/$C$7)*$A$12</f>
        <v>64825</v>
      </c>
      <c r="D12" s="10">
        <f>(G3/$G$7)*$A$3</f>
        <v>112662.59334691106</v>
      </c>
      <c r="E12" s="10">
        <f>(I3/$I$7)*$A$3</f>
        <v>123869.42675159236</v>
      </c>
      <c r="F12" s="10">
        <v>100114.43661971833</v>
      </c>
    </row>
    <row r="13" spans="1:9" x14ac:dyDescent="0.2">
      <c r="B13" t="s">
        <v>8</v>
      </c>
      <c r="C13" s="10">
        <f t="shared" ref="C13:C15" si="3">(C4/$C$7)*$A$12</f>
        <v>90755</v>
      </c>
      <c r="D13" s="10">
        <f t="shared" ref="D13:D15" si="4">(G4/$G$7)*$A$3</f>
        <v>125689.20570264765</v>
      </c>
      <c r="E13" s="10">
        <f t="shared" ref="E13:E15" si="5">(I4/$I$7)*$A$3</f>
        <v>131797.07006369426</v>
      </c>
      <c r="F13" s="10">
        <v>94758.802816901414</v>
      </c>
    </row>
    <row r="14" spans="1:9" x14ac:dyDescent="0.2">
      <c r="B14" t="s">
        <v>9</v>
      </c>
      <c r="C14" s="10">
        <f t="shared" si="3"/>
        <v>155580</v>
      </c>
      <c r="D14" s="10">
        <f t="shared" si="4"/>
        <v>139419.95926680244</v>
      </c>
      <c r="E14" s="10">
        <f t="shared" si="5"/>
        <v>130806.11464968153</v>
      </c>
      <c r="F14" s="10">
        <v>161746.47887323942</v>
      </c>
    </row>
    <row r="15" spans="1:9" x14ac:dyDescent="0.2">
      <c r="B15" t="s">
        <v>10</v>
      </c>
      <c r="C15" s="10">
        <f t="shared" si="3"/>
        <v>207440</v>
      </c>
      <c r="D15" s="10">
        <f t="shared" si="4"/>
        <v>140828.24168363883</v>
      </c>
      <c r="E15" s="10">
        <f t="shared" si="5"/>
        <v>132127.38853503185</v>
      </c>
      <c r="F15" s="10">
        <v>163380.28169014084</v>
      </c>
      <c r="G15">
        <v>65</v>
      </c>
    </row>
    <row r="16" spans="1:9" x14ac:dyDescent="0.2">
      <c r="B16" s="1" t="s">
        <v>11</v>
      </c>
      <c r="C16" s="10">
        <f>SUM(C12:C15)</f>
        <v>518600</v>
      </c>
      <c r="D16" s="10">
        <f t="shared" ref="D16:F16" si="6">SUM(D12:D15)</f>
        <v>518599.99999999994</v>
      </c>
      <c r="E16" s="10">
        <f t="shared" si="6"/>
        <v>518600</v>
      </c>
      <c r="F16" s="10">
        <f t="shared" si="6"/>
        <v>520000</v>
      </c>
    </row>
    <row r="19" spans="1:6" ht="32" x14ac:dyDescent="0.2">
      <c r="A19" s="8" t="s">
        <v>16</v>
      </c>
      <c r="B19" s="8" t="s">
        <v>17</v>
      </c>
      <c r="C19" s="8" t="s">
        <v>18</v>
      </c>
      <c r="D19" s="8" t="s">
        <v>1</v>
      </c>
      <c r="E19" s="8" t="s">
        <v>19</v>
      </c>
      <c r="F19" s="8" t="s">
        <v>20</v>
      </c>
    </row>
    <row r="20" spans="1:6" x14ac:dyDescent="0.2">
      <c r="A20" t="s">
        <v>7</v>
      </c>
      <c r="B20" s="10">
        <f>F3*C3</f>
        <v>387500</v>
      </c>
      <c r="C20" s="10">
        <f>E3*C3</f>
        <v>153125</v>
      </c>
      <c r="D20" s="10">
        <f>B20-C20-E20</f>
        <v>100114.43661971833</v>
      </c>
      <c r="E20" s="10">
        <f>F20*B20</f>
        <v>134260.56338028167</v>
      </c>
      <c r="F20" s="12">
        <v>0.3464788732394366</v>
      </c>
    </row>
    <row r="21" spans="1:6" x14ac:dyDescent="0.2">
      <c r="A21" t="s">
        <v>8</v>
      </c>
      <c r="B21" s="10">
        <f>F4*C4</f>
        <v>446250</v>
      </c>
      <c r="C21" s="10">
        <f xml:space="preserve"> E4*C4</f>
        <v>196875</v>
      </c>
      <c r="D21" s="10">
        <f t="shared" ref="D21:D23" si="7">B21-C21-E21</f>
        <v>94758.802816901414</v>
      </c>
      <c r="E21" s="10">
        <f t="shared" ref="E21:E23" si="8">F21*B21</f>
        <v>154616.19718309859</v>
      </c>
      <c r="F21" s="12">
        <v>0.3464788732394366</v>
      </c>
    </row>
    <row r="22" spans="1:6" x14ac:dyDescent="0.2">
      <c r="A22" t="s">
        <v>9</v>
      </c>
      <c r="B22" s="10">
        <f>D5*C5</f>
        <v>247500</v>
      </c>
      <c r="C22" s="10"/>
      <c r="D22" s="10">
        <f t="shared" si="7"/>
        <v>161746.47887323942</v>
      </c>
      <c r="E22" s="10">
        <f t="shared" si="8"/>
        <v>85753.521126760563</v>
      </c>
      <c r="F22" s="12">
        <v>0.3464788732394366</v>
      </c>
    </row>
    <row r="23" spans="1:6" x14ac:dyDescent="0.2">
      <c r="A23" t="s">
        <v>10</v>
      </c>
      <c r="B23" s="10">
        <f>D6*C6</f>
        <v>250000</v>
      </c>
      <c r="C23" s="10"/>
      <c r="D23" s="10">
        <f t="shared" si="7"/>
        <v>163380.28169014084</v>
      </c>
      <c r="E23" s="10">
        <f t="shared" si="8"/>
        <v>86619.718309859149</v>
      </c>
      <c r="F23" s="12">
        <v>0.3464788732394366</v>
      </c>
    </row>
    <row r="24" spans="1:6" x14ac:dyDescent="0.2">
      <c r="A24" s="1" t="s">
        <v>0</v>
      </c>
      <c r="B24" s="10">
        <f>SUM(B20:B23)</f>
        <v>1331250</v>
      </c>
      <c r="C24" s="10">
        <f>SUM(C20:C23)</f>
        <v>350000</v>
      </c>
      <c r="D24" s="10">
        <f>A3</f>
        <v>518600</v>
      </c>
      <c r="E24" s="10">
        <f>B24-C24-D24</f>
        <v>462650</v>
      </c>
      <c r="F24" s="12">
        <f>E24/B24</f>
        <v>0.3475305164319249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 Virginia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Kip Holderness</dc:creator>
  <cp:lastModifiedBy>Hengjun Ji</cp:lastModifiedBy>
  <dcterms:created xsi:type="dcterms:W3CDTF">2021-10-27T14:31:59Z</dcterms:created>
  <dcterms:modified xsi:type="dcterms:W3CDTF">2026-03-19T05:14:54Z</dcterms:modified>
</cp:coreProperties>
</file>